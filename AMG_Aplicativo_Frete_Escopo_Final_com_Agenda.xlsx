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semar\Desktop\JTC Consultoria\AMG\Cotações\"/>
    </mc:Choice>
  </mc:AlternateContent>
  <xr:revisionPtr revIDLastSave="0" documentId="8_{CA665845-BE08-4230-9B9E-BC7873843D49}" xr6:coauthVersionLast="47" xr6:coauthVersionMax="47" xr10:uidLastSave="{00000000-0000-0000-0000-000000000000}"/>
  <bookViews>
    <workbookView xWindow="20370" yWindow="-120" windowWidth="29040" windowHeight="15840" activeTab="5" xr2:uid="{00000000-000D-0000-FFFF-FFFF00000000}"/>
  </bookViews>
  <sheets>
    <sheet name="01_Logica_Final" sheetId="1" r:id="rId1"/>
    <sheet name="02_Campos_do_App" sheetId="2" r:id="rId2"/>
    <sheet name="03_Formacao_de_Preco" sheetId="3" r:id="rId3"/>
    <sheet name="04_Painel_e_Status" sheetId="4" r:id="rId4"/>
    <sheet name="05_Backlog_Mateus" sheetId="5" r:id="rId5"/>
    <sheet name="06_Resumo_Executivo" sheetId="6" r:id="rId6"/>
    <sheet name="07_Agenda_Carregamento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00" i="7" l="1"/>
  <c r="O200" i="7"/>
  <c r="P199" i="7"/>
  <c r="O199" i="7"/>
  <c r="P198" i="7"/>
  <c r="O198" i="7"/>
  <c r="P197" i="7"/>
  <c r="O197" i="7"/>
  <c r="P196" i="7"/>
  <c r="O196" i="7"/>
  <c r="P195" i="7"/>
  <c r="O195" i="7"/>
  <c r="P194" i="7"/>
  <c r="O194" i="7"/>
  <c r="P193" i="7"/>
  <c r="O193" i="7"/>
  <c r="P192" i="7"/>
  <c r="O192" i="7"/>
  <c r="P191" i="7"/>
  <c r="O191" i="7"/>
  <c r="P190" i="7"/>
  <c r="O190" i="7"/>
  <c r="P189" i="7"/>
  <c r="O189" i="7"/>
  <c r="P188" i="7"/>
  <c r="O188" i="7"/>
  <c r="P187" i="7"/>
  <c r="O187" i="7"/>
  <c r="P186" i="7"/>
  <c r="O186" i="7"/>
  <c r="P185" i="7"/>
  <c r="O185" i="7"/>
  <c r="P184" i="7"/>
  <c r="O184" i="7"/>
  <c r="P183" i="7"/>
  <c r="O183" i="7"/>
  <c r="P182" i="7"/>
  <c r="O182" i="7"/>
  <c r="P181" i="7"/>
  <c r="O181" i="7"/>
  <c r="P180" i="7"/>
  <c r="O180" i="7"/>
  <c r="P179" i="7"/>
  <c r="O179" i="7"/>
  <c r="P178" i="7"/>
  <c r="O178" i="7"/>
  <c r="P177" i="7"/>
  <c r="O177" i="7"/>
  <c r="P176" i="7"/>
  <c r="O176" i="7"/>
  <c r="P175" i="7"/>
  <c r="O175" i="7"/>
  <c r="P174" i="7"/>
  <c r="O174" i="7"/>
  <c r="P173" i="7"/>
  <c r="O173" i="7"/>
  <c r="P172" i="7"/>
  <c r="O172" i="7"/>
  <c r="P171" i="7"/>
  <c r="O171" i="7"/>
  <c r="P170" i="7"/>
  <c r="O170" i="7"/>
  <c r="P169" i="7"/>
  <c r="O169" i="7"/>
  <c r="P168" i="7"/>
  <c r="O168" i="7"/>
  <c r="P167" i="7"/>
  <c r="O167" i="7"/>
  <c r="P166" i="7"/>
  <c r="O166" i="7"/>
  <c r="P165" i="7"/>
  <c r="O165" i="7"/>
  <c r="P164" i="7"/>
  <c r="O164" i="7"/>
  <c r="P163" i="7"/>
  <c r="O163" i="7"/>
  <c r="P162" i="7"/>
  <c r="O162" i="7"/>
  <c r="P161" i="7"/>
  <c r="O161" i="7"/>
  <c r="P160" i="7"/>
  <c r="O160" i="7"/>
  <c r="P159" i="7"/>
  <c r="O159" i="7"/>
  <c r="P158" i="7"/>
  <c r="O158" i="7"/>
  <c r="P157" i="7"/>
  <c r="O157" i="7"/>
  <c r="P156" i="7"/>
  <c r="O156" i="7"/>
  <c r="P155" i="7"/>
  <c r="O155" i="7"/>
  <c r="P154" i="7"/>
  <c r="O154" i="7"/>
  <c r="P153" i="7"/>
  <c r="O153" i="7"/>
  <c r="P152" i="7"/>
  <c r="O152" i="7"/>
  <c r="P151" i="7"/>
  <c r="O151" i="7"/>
  <c r="P150" i="7"/>
  <c r="O150" i="7"/>
  <c r="P149" i="7"/>
  <c r="O149" i="7"/>
  <c r="P148" i="7"/>
  <c r="O148" i="7"/>
  <c r="P147" i="7"/>
  <c r="O147" i="7"/>
  <c r="P146" i="7"/>
  <c r="O146" i="7"/>
  <c r="P145" i="7"/>
  <c r="O145" i="7"/>
  <c r="P144" i="7"/>
  <c r="O144" i="7"/>
  <c r="P143" i="7"/>
  <c r="O143" i="7"/>
  <c r="P142" i="7"/>
  <c r="O142" i="7"/>
  <c r="P141" i="7"/>
  <c r="O141" i="7"/>
  <c r="P140" i="7"/>
  <c r="O140" i="7"/>
  <c r="P139" i="7"/>
  <c r="O139" i="7"/>
  <c r="P138" i="7"/>
  <c r="O138" i="7"/>
  <c r="P137" i="7"/>
  <c r="O137" i="7"/>
  <c r="P136" i="7"/>
  <c r="O136" i="7"/>
  <c r="P135" i="7"/>
  <c r="O135" i="7"/>
  <c r="P134" i="7"/>
  <c r="O134" i="7"/>
  <c r="P133" i="7"/>
  <c r="O133" i="7"/>
  <c r="P132" i="7"/>
  <c r="O132" i="7"/>
  <c r="P131" i="7"/>
  <c r="O131" i="7"/>
  <c r="P130" i="7"/>
  <c r="O130" i="7"/>
  <c r="P129" i="7"/>
  <c r="O129" i="7"/>
  <c r="P128" i="7"/>
  <c r="O128" i="7"/>
  <c r="P127" i="7"/>
  <c r="O127" i="7"/>
  <c r="P126" i="7"/>
  <c r="O126" i="7"/>
  <c r="P125" i="7"/>
  <c r="O125" i="7"/>
  <c r="P124" i="7"/>
  <c r="O124" i="7"/>
  <c r="P123" i="7"/>
  <c r="O123" i="7"/>
  <c r="P122" i="7"/>
  <c r="O122" i="7"/>
  <c r="P121" i="7"/>
  <c r="O121" i="7"/>
  <c r="P120" i="7"/>
  <c r="O120" i="7"/>
  <c r="P119" i="7"/>
  <c r="O119" i="7"/>
  <c r="P118" i="7"/>
  <c r="O118" i="7"/>
  <c r="P117" i="7"/>
  <c r="O117" i="7"/>
  <c r="P116" i="7"/>
  <c r="O116" i="7"/>
  <c r="P115" i="7"/>
  <c r="O115" i="7"/>
  <c r="P114" i="7"/>
  <c r="O114" i="7"/>
  <c r="P113" i="7"/>
  <c r="O113" i="7"/>
  <c r="P112" i="7"/>
  <c r="O112" i="7"/>
  <c r="P111" i="7"/>
  <c r="O111" i="7"/>
  <c r="P110" i="7"/>
  <c r="O110" i="7"/>
  <c r="P109" i="7"/>
  <c r="O109" i="7"/>
  <c r="P108" i="7"/>
  <c r="O108" i="7"/>
  <c r="P107" i="7"/>
  <c r="O107" i="7"/>
  <c r="P106" i="7"/>
  <c r="O106" i="7"/>
  <c r="P105" i="7"/>
  <c r="O105" i="7"/>
  <c r="P104" i="7"/>
  <c r="O104" i="7"/>
  <c r="P103" i="7"/>
  <c r="O103" i="7"/>
  <c r="P102" i="7"/>
  <c r="O102" i="7"/>
  <c r="P101" i="7"/>
  <c r="O101" i="7"/>
  <c r="P100" i="7"/>
  <c r="O100" i="7"/>
  <c r="P99" i="7"/>
  <c r="O99" i="7"/>
  <c r="P98" i="7"/>
  <c r="O98" i="7"/>
  <c r="P97" i="7"/>
  <c r="O97" i="7"/>
  <c r="P96" i="7"/>
  <c r="O96" i="7"/>
  <c r="P95" i="7"/>
  <c r="O95" i="7"/>
  <c r="P94" i="7"/>
  <c r="O94" i="7"/>
  <c r="P93" i="7"/>
  <c r="O93" i="7"/>
  <c r="P92" i="7"/>
  <c r="O92" i="7"/>
  <c r="P91" i="7"/>
  <c r="O91" i="7"/>
  <c r="P90" i="7"/>
  <c r="O90" i="7"/>
  <c r="P89" i="7"/>
  <c r="O89" i="7"/>
  <c r="P88" i="7"/>
  <c r="O88" i="7"/>
  <c r="P87" i="7"/>
  <c r="O87" i="7"/>
  <c r="P86" i="7"/>
  <c r="O86" i="7"/>
  <c r="P85" i="7"/>
  <c r="O85" i="7"/>
  <c r="P84" i="7"/>
  <c r="O84" i="7"/>
  <c r="P83" i="7"/>
  <c r="O83" i="7"/>
  <c r="P82" i="7"/>
  <c r="O82" i="7"/>
  <c r="P81" i="7"/>
  <c r="O81" i="7"/>
  <c r="P80" i="7"/>
  <c r="O80" i="7"/>
  <c r="P79" i="7"/>
  <c r="O79" i="7"/>
  <c r="P78" i="7"/>
  <c r="O78" i="7"/>
  <c r="P77" i="7"/>
  <c r="O77" i="7"/>
  <c r="P76" i="7"/>
  <c r="O76" i="7"/>
  <c r="P75" i="7"/>
  <c r="O75" i="7"/>
  <c r="P74" i="7"/>
  <c r="O74" i="7"/>
  <c r="P73" i="7"/>
  <c r="O73" i="7"/>
  <c r="P72" i="7"/>
  <c r="O72" i="7"/>
  <c r="P71" i="7"/>
  <c r="O71" i="7"/>
  <c r="P70" i="7"/>
  <c r="O70" i="7"/>
  <c r="P69" i="7"/>
  <c r="O69" i="7"/>
  <c r="P68" i="7"/>
  <c r="O68" i="7"/>
  <c r="P67" i="7"/>
  <c r="O67" i="7"/>
  <c r="P66" i="7"/>
  <c r="O66" i="7"/>
  <c r="P65" i="7"/>
  <c r="O65" i="7"/>
  <c r="P64" i="7"/>
  <c r="O64" i="7"/>
  <c r="P63" i="7"/>
  <c r="O63" i="7"/>
  <c r="P62" i="7"/>
  <c r="O62" i="7"/>
  <c r="P61" i="7"/>
  <c r="O61" i="7"/>
  <c r="P60" i="7"/>
  <c r="O60" i="7"/>
  <c r="P59" i="7"/>
  <c r="O59" i="7"/>
  <c r="P58" i="7"/>
  <c r="O58" i="7"/>
  <c r="P57" i="7"/>
  <c r="O57" i="7"/>
  <c r="P56" i="7"/>
  <c r="O56" i="7"/>
  <c r="P55" i="7"/>
  <c r="O55" i="7"/>
  <c r="P54" i="7"/>
  <c r="O54" i="7"/>
  <c r="P53" i="7"/>
  <c r="O53" i="7"/>
  <c r="P52" i="7"/>
  <c r="O52" i="7"/>
  <c r="P51" i="7"/>
  <c r="O51" i="7"/>
  <c r="P50" i="7"/>
  <c r="O50" i="7"/>
  <c r="P49" i="7"/>
  <c r="O49" i="7"/>
  <c r="P48" i="7"/>
  <c r="O48" i="7"/>
  <c r="P47" i="7"/>
  <c r="O47" i="7"/>
  <c r="P46" i="7"/>
  <c r="O46" i="7"/>
  <c r="P45" i="7"/>
  <c r="O45" i="7"/>
  <c r="P44" i="7"/>
  <c r="O44" i="7"/>
  <c r="P43" i="7"/>
  <c r="O43" i="7"/>
  <c r="P42" i="7"/>
  <c r="O42" i="7"/>
  <c r="P41" i="7"/>
  <c r="O41" i="7"/>
  <c r="P40" i="7"/>
  <c r="O40" i="7"/>
  <c r="P39" i="7"/>
  <c r="O39" i="7"/>
  <c r="P38" i="7"/>
  <c r="O38" i="7"/>
  <c r="P37" i="7"/>
  <c r="O37" i="7"/>
  <c r="P36" i="7"/>
  <c r="O36" i="7"/>
  <c r="P35" i="7"/>
  <c r="O35" i="7"/>
  <c r="P34" i="7"/>
  <c r="O34" i="7"/>
  <c r="P33" i="7"/>
  <c r="O33" i="7"/>
  <c r="P32" i="7"/>
  <c r="O32" i="7"/>
  <c r="P31" i="7"/>
  <c r="O31" i="7"/>
  <c r="P30" i="7"/>
  <c r="O30" i="7"/>
  <c r="P29" i="7"/>
  <c r="O29" i="7"/>
  <c r="P28" i="7"/>
  <c r="O28" i="7"/>
  <c r="P27" i="7"/>
  <c r="O27" i="7"/>
  <c r="P26" i="7"/>
  <c r="O26" i="7"/>
  <c r="P25" i="7"/>
  <c r="O25" i="7"/>
  <c r="P24" i="7"/>
  <c r="O24" i="7"/>
  <c r="P23" i="7"/>
  <c r="O23" i="7"/>
  <c r="P22" i="7"/>
  <c r="O22" i="7"/>
  <c r="P21" i="7"/>
  <c r="O21" i="7"/>
  <c r="P20" i="7"/>
  <c r="O20" i="7"/>
  <c r="P19" i="7"/>
  <c r="O19" i="7"/>
  <c r="P18" i="7"/>
  <c r="O18" i="7"/>
  <c r="P17" i="7"/>
  <c r="O17" i="7"/>
  <c r="P16" i="7"/>
  <c r="O16" i="7"/>
  <c r="P15" i="7"/>
  <c r="O15" i="7"/>
  <c r="P14" i="7"/>
  <c r="O14" i="7"/>
  <c r="P13" i="7"/>
  <c r="O13" i="7"/>
  <c r="P12" i="7"/>
  <c r="O12" i="7"/>
  <c r="P11" i="7"/>
  <c r="O11" i="7"/>
  <c r="P10" i="7"/>
  <c r="O10" i="7"/>
  <c r="P9" i="7"/>
  <c r="O9" i="7"/>
  <c r="J5" i="7"/>
  <c r="G5" i="7"/>
  <c r="D5" i="7"/>
  <c r="A5" i="7"/>
  <c r="B32" i="3"/>
  <c r="B24" i="3"/>
  <c r="B26" i="3" s="1"/>
  <c r="B33" i="3" s="1"/>
</calcChain>
</file>

<file path=xl/sharedStrings.xml><?xml version="1.0" encoding="utf-8"?>
<sst xmlns="http://schemas.openxmlformats.org/spreadsheetml/2006/main" count="955" uniqueCount="535">
  <si>
    <t>AMG LOGÍSTICA – LÓGICA FINAL DO APLICATIVO DE FRETE</t>
  </si>
  <si>
    <t>Escopo atual: interface Cliente × Comercial AMG, da cotação à Ordem de Coleta enviada para a Logística, com geração automática da Agenda de Carregamentos para acompanhamento comercial.</t>
  </si>
  <si>
    <t>Etapa</t>
  </si>
  <si>
    <t>Ator</t>
  </si>
  <si>
    <t>O que acontece</t>
  </si>
  <si>
    <t>Dados principais</t>
  </si>
  <si>
    <t>Visibilidade</t>
  </si>
  <si>
    <t>Status</t>
  </si>
  <si>
    <t>Decisão / regra</t>
  </si>
  <si>
    <t>Saída</t>
  </si>
  <si>
    <t>Próxima etapa</t>
  </si>
  <si>
    <t>Observação</t>
  </si>
  <si>
    <t>Cliente – Engenheiro/Consultor em campo</t>
  </si>
  <si>
    <t>Solicita uma COTAÇÃO RÁPIDA.</t>
  </si>
  <si>
    <t>Origem cidade/UF; destino cidade/UF; tipo de material; peso estimado; veículo se souber.</t>
  </si>
  <si>
    <t>Cliente + Comercial AMG</t>
  </si>
  <si>
    <t>Em análise</t>
  </si>
  <si>
    <t>Pedir o mínimo necessário para uma estimativa inicial.</t>
  </si>
  <si>
    <t>Solicitação de cotação criada</t>
  </si>
  <si>
    <t>Análise Comercial AMG</t>
  </si>
  <si>
    <t>Uso prioritariamente pelo celular.</t>
  </si>
  <si>
    <t>Cliente – Comprador no escritório</t>
  </si>
  <si>
    <t>Solicita uma COTAÇÃO COMPLETA.</t>
  </si>
  <si>
    <t>Origem/destino completos; carga; volumes; peso; medidas; veículo; observações e necessidades especiais.</t>
  </si>
  <si>
    <t>Identificar comprador e empresa automaticamente pelo cadastro.</t>
  </si>
  <si>
    <t>Alternativa à cotação rápida.</t>
  </si>
  <si>
    <t>Comercial AMG</t>
  </si>
  <si>
    <t>Analisa a solicitação e valida se há dados suficientes.</t>
  </si>
  <si>
    <t>Rota; carga; tipo de veículo; necessidades operacionais.</t>
  </si>
  <si>
    <t>Somente Comercial AMG</t>
  </si>
  <si>
    <t>Se faltar informação essencial, devolver ao cliente para complemento.</t>
  </si>
  <si>
    <t>Cotação pronta para precificação</t>
  </si>
  <si>
    <t>Formação de preço</t>
  </si>
  <si>
    <t>Forma o preço internamente: calcula FC e depois FE.</t>
  </si>
  <si>
    <t>Motorista + pedágio + impostos + seguro + outros custos = FC; FC + margem = FE.</t>
  </si>
  <si>
    <t>SOMENTE Comercial AMG</t>
  </si>
  <si>
    <t>A composição interna nunca deve ser mostrada ao cliente.</t>
  </si>
  <si>
    <t>FE definido</t>
  </si>
  <si>
    <t>Adicionar serviços adicionais</t>
  </si>
  <si>
    <t>Etapa crítica do processo comercial.</t>
  </si>
  <si>
    <t>Inclui adicionais quando aplicáveis.</t>
  </si>
  <si>
    <t>Diária; ajudante; empilhadeira; guincho/Munck; descarga; outros.</t>
  </si>
  <si>
    <t>Comercial AMG; cliente vê somente os adicionais cobrados</t>
  </si>
  <si>
    <t>Adicionais devem aparecer separadamente quando cobrados.</t>
  </si>
  <si>
    <t>Valor total da proposta</t>
  </si>
  <si>
    <t>Envio da cotação</t>
  </si>
  <si>
    <t>Comercial AMG / Sistema</t>
  </si>
  <si>
    <t>Envia a cotação ao cliente.</t>
  </si>
  <si>
    <t>Valor do frete (FE); adicionais; valor total; validade; observações.</t>
  </si>
  <si>
    <t>Respondida</t>
  </si>
  <si>
    <t>Não apresentar FC, motorista, pedágio, impostos, seguro ou margem.</t>
  </si>
  <si>
    <t>Proposta disponibilizada</t>
  </si>
  <si>
    <t>Decisão do cliente</t>
  </si>
  <si>
    <t>Cliente</t>
  </si>
  <si>
    <t>Analisa a proposta e decide.</t>
  </si>
  <si>
    <t>Aprovar; reprovar; solicitar negociação.</t>
  </si>
  <si>
    <t>Aprovada / Reprovada / Negociação</t>
  </si>
  <si>
    <t>Registrar usuário, data e hora da decisão.</t>
  </si>
  <si>
    <t>Decisão registrada</t>
  </si>
  <si>
    <t>Solicitação de frete ou revisão da proposta</t>
  </si>
  <si>
    <t>Comercial AMG + Cliente</t>
  </si>
  <si>
    <t>Se houver negociação, Comercial revisa e reenvia.</t>
  </si>
  <si>
    <t>Nova versão do FE e/ou adicionais.</t>
  </si>
  <si>
    <t>Negociação / Respondida</t>
  </si>
  <si>
    <t>Não apagar versões anteriores.</t>
  </si>
  <si>
    <t>Nova versão da cotação</t>
  </si>
  <si>
    <t>Nova decisão do cliente</t>
  </si>
  <si>
    <t>Cliente – Comprador</t>
  </si>
  <si>
    <t>Após aprovação, preenche a SOLICITAÇÃO DE FRETE.</t>
  </si>
  <si>
    <t>Dados fiscais; pagador; CNPJ/CPF; fornecedor; destinatário; endereços; carga; NF; coleta; observações.</t>
  </si>
  <si>
    <t>Frete solicitado</t>
  </si>
  <si>
    <t>Reaproveitar automaticamente tudo que já veio da cotação.</t>
  </si>
  <si>
    <t>Solicitação de frete completa</t>
  </si>
  <si>
    <t>Validação Comercial AMG</t>
  </si>
  <si>
    <t>Valida a Solicitação de Frete.</t>
  </si>
  <si>
    <t>Todos os dados necessários para transformar a solicitação em ordem.</t>
  </si>
  <si>
    <t>Em validação</t>
  </si>
  <si>
    <t>Se houver pendência, devolver para correção.</t>
  </si>
  <si>
    <t>Solicitação validada</t>
  </si>
  <si>
    <t>Gerar Ordem de Coleta</t>
  </si>
  <si>
    <t>Gera a ORDEM DE COLETA.</t>
  </si>
  <si>
    <t>Dados consolidados da cotação aprovada + solicitação de frete.</t>
  </si>
  <si>
    <t>OC emitida</t>
  </si>
  <si>
    <t>Manter vínculo com nº da cotação, comprador e empresa.</t>
  </si>
  <si>
    <t>Ordem de Coleta</t>
  </si>
  <si>
    <t>Enviar para Logística</t>
  </si>
  <si>
    <t>Envia a Ordem de Coleta para a Logística e gera a agenda.</t>
  </si>
  <si>
    <t>Ordem de Coleta final + data/hora prevista de carregamento.</t>
  </si>
  <si>
    <t>Comercial AMG + Logística</t>
  </si>
  <si>
    <t>Enviada à Logística</t>
  </si>
  <si>
    <t>Ao enviar a OC, criar automaticamente um compromisso na Agenda de Carregamentos.</t>
  </si>
  <si>
    <t>Handoff + compromisso de agenda</t>
  </si>
  <si>
    <t>Agenda de Carregamentos</t>
  </si>
  <si>
    <t>A execução operacional continua pertencendo à Logística.</t>
  </si>
  <si>
    <t>Acompanha a Agenda de Carregamentos.</t>
  </si>
  <si>
    <t>Data/hora; OC; cliente; comprador; rota; veículo; responsável; confirmação; status; observações.</t>
  </si>
  <si>
    <t>Somente Comercial AMG (com dados recebidos da Logística quando aplicável)</t>
  </si>
  <si>
    <t>Agendado / Confirmado / Reagendado / Carregado</t>
  </si>
  <si>
    <t>Destacar carregamentos de hoje, amanhã, próximos dias e os que ainda não foram confirmados.</t>
  </si>
  <si>
    <t>Agenda atualizada e alertas visuais</t>
  </si>
  <si>
    <t>Fim do escopo atual</t>
  </si>
  <si>
    <t>Objetivo: evitar que qualquer carregamento programado passe despercebido.</t>
  </si>
  <si>
    <t>CAMPOS DO APLICATIVO – ESCOPO ATUAL</t>
  </si>
  <si>
    <t>Separação entre Cotação Rápida, Cotação Completa e Solicitação de Frete.</t>
  </si>
  <si>
    <t>Grupo</t>
  </si>
  <si>
    <t>Campo</t>
  </si>
  <si>
    <t>Cotação Rápida</t>
  </si>
  <si>
    <t>Cotação Completa</t>
  </si>
  <si>
    <t>Solicitação de Frete</t>
  </si>
  <si>
    <t>Obrigatório?</t>
  </si>
  <si>
    <t>Quem preenche</t>
  </si>
  <si>
    <t>Tipo de campo</t>
  </si>
  <si>
    <t>Regra</t>
  </si>
  <si>
    <t>Visível ao cliente?</t>
  </si>
  <si>
    <t>Identificação</t>
  </si>
  <si>
    <t>Nome do comprador/solicitante</t>
  </si>
  <si>
    <t>Automático</t>
  </si>
  <si>
    <t>Sim</t>
  </si>
  <si>
    <t>Cadastro/Sistema</t>
  </si>
  <si>
    <t>Texto</t>
  </si>
  <si>
    <t>Vinculado ao login</t>
  </si>
  <si>
    <t>Exibir no painel.</t>
  </si>
  <si>
    <t>Empresa representada</t>
  </si>
  <si>
    <t>Lista/Cadastro</t>
  </si>
  <si>
    <t>Vinculada ao comprador</t>
  </si>
  <si>
    <t>Nº da cotação</t>
  </si>
  <si>
    <t>Referência</t>
  </si>
  <si>
    <t>Sistema</t>
  </si>
  <si>
    <t>Único e sequencial</t>
  </si>
  <si>
    <t>Base para rastreabilidade.</t>
  </si>
  <si>
    <t>Rota</t>
  </si>
  <si>
    <t>Origem – cidade/UF</t>
  </si>
  <si>
    <t>Texto/Lista</t>
  </si>
  <si>
    <t>Cidade + UF</t>
  </si>
  <si>
    <t>Rápida não exige endereço completo.</t>
  </si>
  <si>
    <t>Origem – endereço/CEP</t>
  </si>
  <si>
    <t>Não</t>
  </si>
  <si>
    <t>Completa/Solicitação</t>
  </si>
  <si>
    <t>CEP pode completar endereço</t>
  </si>
  <si>
    <t>Destino – cidade/UF</t>
  </si>
  <si>
    <t>Destino – endereço/CEP</t>
  </si>
  <si>
    <t>Carga</t>
  </si>
  <si>
    <t>Tipo de material</t>
  </si>
  <si>
    <t>Lista/Texto</t>
  </si>
  <si>
    <t>Ex.: andaime, formas, aço, HVAC</t>
  </si>
  <si>
    <t>Peso total</t>
  </si>
  <si>
    <t>Número</t>
  </si>
  <si>
    <t>kg/t</t>
  </si>
  <si>
    <t>Volumes / quantidade</t>
  </si>
  <si>
    <t>Opcional</t>
  </si>
  <si>
    <t>Inteiro positivo</t>
  </si>
  <si>
    <t>Dimensões / m³</t>
  </si>
  <si>
    <t>Quando aplicável</t>
  </si>
  <si>
    <t>Número/Texto</t>
  </si>
  <si>
    <t>C × L × A ou m³</t>
  </si>
  <si>
    <t>Valor da NF / valor segurado</t>
  </si>
  <si>
    <t>Solicitação</t>
  </si>
  <si>
    <t>Moeda</t>
  </si>
  <si>
    <t>Necessário para seguro</t>
  </si>
  <si>
    <t>Veículo</t>
  </si>
  <si>
    <t>Tipo de veículo</t>
  </si>
  <si>
    <t>Conforme etapa</t>
  </si>
  <si>
    <t>Cliente/Comercial</t>
  </si>
  <si>
    <t>Lista</t>
  </si>
  <si>
    <t>Permitir 'não sei' na rápida</t>
  </si>
  <si>
    <t>Operação</t>
  </si>
  <si>
    <t>Diária</t>
  </si>
  <si>
    <t>Sim/Não + valor</t>
  </si>
  <si>
    <t>Habilitar valor se Sim</t>
  </si>
  <si>
    <t>Sim, se cobrada</t>
  </si>
  <si>
    <t>Ajudante</t>
  </si>
  <si>
    <t>Quantidade + valor quando aplicável</t>
  </si>
  <si>
    <t>Sim, se cobrado</t>
  </si>
  <si>
    <t>Empilhadeira</t>
  </si>
  <si>
    <t>Valor quando aplicável</t>
  </si>
  <si>
    <t>Guincho / Munck</t>
  </si>
  <si>
    <t>Distinguir carga e descarga</t>
  </si>
  <si>
    <t>Outros adicionais</t>
  </si>
  <si>
    <t>Descrição + valor</t>
  </si>
  <si>
    <t>Campo livre controlado</t>
  </si>
  <si>
    <t>Pagador do frete</t>
  </si>
  <si>
    <t>Remetente/destinatário/terceiro</t>
  </si>
  <si>
    <t>CNPJ/CPF do pagador</t>
  </si>
  <si>
    <t>Validar documento</t>
  </si>
  <si>
    <t>Fornecedor/remetente</t>
  </si>
  <si>
    <t>Nome + contato</t>
  </si>
  <si>
    <t>Destinatário</t>
  </si>
  <si>
    <t>Data desejada de carregamento</t>
  </si>
  <si>
    <t>Data/Hora</t>
  </si>
  <si>
    <t>Não permitir data passada</t>
  </si>
  <si>
    <t>Observações operacionais</t>
  </si>
  <si>
    <t>Texto longo</t>
  </si>
  <si>
    <t>Horários, acesso, EPI, descarga etc.</t>
  </si>
  <si>
    <t>Agenda</t>
  </si>
  <si>
    <t>Data do carregamento</t>
  </si>
  <si>
    <t>Automática/Confirmada</t>
  </si>
  <si>
    <t>Sistema/Comercial AMG</t>
  </si>
  <si>
    <t>Data</t>
  </si>
  <si>
    <t>Puxar da Solicitação/OC e permitir atualização</t>
  </si>
  <si>
    <t>Não necessariamente</t>
  </si>
  <si>
    <t>Base principal da agenda.</t>
  </si>
  <si>
    <t>Hora prevista</t>
  </si>
  <si>
    <t>Quando informada</t>
  </si>
  <si>
    <t>Hora</t>
  </si>
  <si>
    <t>Permitir ajuste em caso de confirmação/reagendamento</t>
  </si>
  <si>
    <t>Nº da Ordem de Coleta</t>
  </si>
  <si>
    <t>Vincular ao registro da agenda</t>
  </si>
  <si>
    <t>Interno</t>
  </si>
  <si>
    <t>Empresa / Comprador</t>
  </si>
  <si>
    <t>Cadastro</t>
  </si>
  <si>
    <t>Puxar da cotação/solicitação</t>
  </si>
  <si>
    <t>Facilita identificar rapidamente o solicitante.</t>
  </si>
  <si>
    <t>Origem / Destino</t>
  </si>
  <si>
    <t>Puxar da Ordem de Coleta</t>
  </si>
  <si>
    <t>Automático/Atualizável</t>
  </si>
  <si>
    <t>Quando definido</t>
  </si>
  <si>
    <t>Sistema/Comercial</t>
  </si>
  <si>
    <t>Puxar da solicitação e permitir atualização</t>
  </si>
  <si>
    <t>Status do carregamento</t>
  </si>
  <si>
    <t>Atualizável</t>
  </si>
  <si>
    <t>Comercial AMG / integração futura</t>
  </si>
  <si>
    <t>Aguardando confirmação; Programado; Confirmado; Reagendado; Carregado; Cancelado</t>
  </si>
  <si>
    <t>Status da agenda, separado do status comercial da cotação.</t>
  </si>
  <si>
    <t>Confirmação da Logística</t>
  </si>
  <si>
    <t>Comercial AMG / Logística</t>
  </si>
  <si>
    <t>Sim/Não</t>
  </si>
  <si>
    <t>Sinalizar quando ainda não houver confirmação</t>
  </si>
  <si>
    <t>Alerta de prazo</t>
  </si>
  <si>
    <t>HOJE; AMANHÃ; PRÓXIMO; ATRASADO/PENDENTE</t>
  </si>
  <si>
    <t>Evita que a programação passe despercebida.</t>
  </si>
  <si>
    <t>Observações de programação</t>
  </si>
  <si>
    <t>Ex.: alteração de horário, restrição, contato, pendência</t>
  </si>
  <si>
    <t>FORMAÇÃO DE PREÇO – USO EXCLUSIVO DO COMERCIAL AMG</t>
  </si>
  <si>
    <t>FC = custo total do frete. FE = preço de venda obtido pela aplicação da margem sobre o FC. O cliente não visualiza esta composição.</t>
  </si>
  <si>
    <t>Componente</t>
  </si>
  <si>
    <t>Definição</t>
  </si>
  <si>
    <t>Entrada</t>
  </si>
  <si>
    <t>Exemplo</t>
  </si>
  <si>
    <t>Cálculo</t>
  </si>
  <si>
    <t>Regra no aplicativo</t>
  </si>
  <si>
    <t>Frete motorista</t>
  </si>
  <si>
    <t>Valor negociado/pago ao transportador/motorista.</t>
  </si>
  <si>
    <t>R$</t>
  </si>
  <si>
    <t>8.000,00</t>
  </si>
  <si>
    <t>Campo interno editável</t>
  </si>
  <si>
    <t>Parte do FC.</t>
  </si>
  <si>
    <t>Pedágio</t>
  </si>
  <si>
    <t>Custo estimado/contratado de pedágios da rota.</t>
  </si>
  <si>
    <t>900,00</t>
  </si>
  <si>
    <t>Impostos</t>
  </si>
  <si>
    <t>Valor estimado dos tributos considerados na operação.</t>
  </si>
  <si>
    <t>700,00</t>
  </si>
  <si>
    <t>Campo interno editável ou parametrizado</t>
  </si>
  <si>
    <t>Seguro</t>
  </si>
  <si>
    <t>Custo do seguro relacionado à operação.</t>
  </si>
  <si>
    <t>200,00</t>
  </si>
  <si>
    <t>Campo interno editável ou calculado</t>
  </si>
  <si>
    <t>Outros custos internos</t>
  </si>
  <si>
    <t>Outros custos necessários para executar o frete.</t>
  </si>
  <si>
    <t>0,00</t>
  </si>
  <si>
    <t>FC – Frete Custo</t>
  </si>
  <si>
    <t>Somatório dos custos internos do frete.</t>
  </si>
  <si>
    <t>9.800,00</t>
  </si>
  <si>
    <t>Motorista + Pedágio + Impostos + Seguro + Outros</t>
  </si>
  <si>
    <t>Calculado automaticamente</t>
  </si>
  <si>
    <t>Base para aplicar a margem.</t>
  </si>
  <si>
    <t>Margem / Markup comercial</t>
  </si>
  <si>
    <t>Percentual aplicado sobre o FC para formar o preço de venda.</t>
  </si>
  <si>
    <t>%</t>
  </si>
  <si>
    <t>20,00%</t>
  </si>
  <si>
    <t>FC × % Margem</t>
  </si>
  <si>
    <t>Nesta lógica, margem é aplicada 'por cima' do FC.</t>
  </si>
  <si>
    <t>FE – Frete Empresa / preço de venda</t>
  </si>
  <si>
    <t>Preço-base apresentado ao cliente antes dos adicionais.</t>
  </si>
  <si>
    <t>11.760,00</t>
  </si>
  <si>
    <t>FC × (1 + Margem)</t>
  </si>
  <si>
    <t>Sim, somente o FE</t>
  </si>
  <si>
    <t>Não abrir a composição do FC.</t>
  </si>
  <si>
    <t>Adicionais cobrados</t>
  </si>
  <si>
    <t>Diária, ajudante, empilhadeira, Munck/guincho, descarga e outros.</t>
  </si>
  <si>
    <t>Somatório dos adicionais</t>
  </si>
  <si>
    <t>Mostrar separados quando houver</t>
  </si>
  <si>
    <t>Não entram escondidos dentro do FC.</t>
  </si>
  <si>
    <t>VALOR TOTAL DA COTAÇÃO</t>
  </si>
  <si>
    <t>Valor final apresentado ao cliente.</t>
  </si>
  <si>
    <t>FE + Adicionais</t>
  </si>
  <si>
    <t>Valor principal da proposta.</t>
  </si>
  <si>
    <t>CALCULADORA – EXEMPLO EDITÁVEL</t>
  </si>
  <si>
    <t>REGRA DE VISIBILIDADE</t>
  </si>
  <si>
    <t>Valor</t>
  </si>
  <si>
    <t>Fórmula / lógica</t>
  </si>
  <si>
    <t>CLIENTE VÊ:
• FE (valor do frete)
• Adicionais aplicáveis
• Valor total da cotação
CLIENTE NÃO VÊ:
• Valor pago ao motorista
• Pedágio
• Impostos
• Seguro
• Outros custos internos
• FC
• Percentual de margem</t>
  </si>
  <si>
    <t>Editar</t>
  </si>
  <si>
    <t>Soma dos custos internos</t>
  </si>
  <si>
    <t>Calculado</t>
  </si>
  <si>
    <t>Margem / Markup</t>
  </si>
  <si>
    <t>Entrada em %</t>
  </si>
  <si>
    <t>FE – preço de venda</t>
  </si>
  <si>
    <t>Editar se houver</t>
  </si>
  <si>
    <t>Total de adicionais</t>
  </si>
  <si>
    <t>Soma dos adicionais</t>
  </si>
  <si>
    <t>PAINEL DE ACOMPANHAMENTO – COMERCIAL AMG</t>
  </si>
  <si>
    <t>Visão das solicitações, cotações e pedidos de frete dentro do escopo atual.</t>
  </si>
  <si>
    <t>Nº Cotação</t>
  </si>
  <si>
    <t>Empresa</t>
  </si>
  <si>
    <t>Comprador</t>
  </si>
  <si>
    <t>Tipo</t>
  </si>
  <si>
    <t>Origem</t>
  </si>
  <si>
    <t>Destino</t>
  </si>
  <si>
    <t>Material</t>
  </si>
  <si>
    <t>Valor Total</t>
  </si>
  <si>
    <t>Última atualização</t>
  </si>
  <si>
    <t>Próxima ação</t>
  </si>
  <si>
    <t>CT-0001</t>
  </si>
  <si>
    <t>13/09/2026</t>
  </si>
  <si>
    <t>Cliente A</t>
  </si>
  <si>
    <t>Carlos Silva</t>
  </si>
  <si>
    <t>Rápida</t>
  </si>
  <si>
    <t>Curitiba/PR</t>
  </si>
  <si>
    <t>Londrina/PR</t>
  </si>
  <si>
    <t>Andaimes</t>
  </si>
  <si>
    <t>A definir</t>
  </si>
  <si>
    <t>13/09/2026 09:10</t>
  </si>
  <si>
    <t>Formar preço</t>
  </si>
  <si>
    <t>CT-0002</t>
  </si>
  <si>
    <t>Cliente B</t>
  </si>
  <si>
    <t>Marina Souza</t>
  </si>
  <si>
    <t>Completa</t>
  </si>
  <si>
    <t>Itapevi/SP</t>
  </si>
  <si>
    <t>Brasília/DF</t>
  </si>
  <si>
    <t>Formas</t>
  </si>
  <si>
    <t>Carreta aberta</t>
  </si>
  <si>
    <t>13/09/2026 10:45</t>
  </si>
  <si>
    <t>Aguardar cliente</t>
  </si>
  <si>
    <t>CT-0003</t>
  </si>
  <si>
    <t>12/09/2026</t>
  </si>
  <si>
    <t>Cliente C</t>
  </si>
  <si>
    <t>João Lima</t>
  </si>
  <si>
    <t>SJP/PR</t>
  </si>
  <si>
    <t>Goiânia/GO</t>
  </si>
  <si>
    <t>HVAC</t>
  </si>
  <si>
    <t>Truck</t>
  </si>
  <si>
    <t>Negociação</t>
  </si>
  <si>
    <t>13/09/2026 08:30</t>
  </si>
  <si>
    <t>Revisar FE</t>
  </si>
  <si>
    <t>CT-0004</t>
  </si>
  <si>
    <t>Cliente D</t>
  </si>
  <si>
    <t>Ana Martins</t>
  </si>
  <si>
    <t>Campinas/SP</t>
  </si>
  <si>
    <t>Bauru/SP</t>
  </si>
  <si>
    <t>Estruturas</t>
  </si>
  <si>
    <t>Carreta</t>
  </si>
  <si>
    <t>Aprovada</t>
  </si>
  <si>
    <t>12/09/2026 16:30</t>
  </si>
  <si>
    <t>Aguardar solicitação</t>
  </si>
  <si>
    <t>CT-0005</t>
  </si>
  <si>
    <t>11/09/2026</t>
  </si>
  <si>
    <t>Cliente E</t>
  </si>
  <si>
    <t>Pedro Alves</t>
  </si>
  <si>
    <t>São Paulo/SP</t>
  </si>
  <si>
    <t>Piso elevado</t>
  </si>
  <si>
    <t>13/09/2026 11:00</t>
  </si>
  <si>
    <t>Validar solicitação</t>
  </si>
  <si>
    <t>CT-0006</t>
  </si>
  <si>
    <t>10/09/2026</t>
  </si>
  <si>
    <t>Cliente F</t>
  </si>
  <si>
    <t>Luciana Reis</t>
  </si>
  <si>
    <t>Joinville/SC</t>
  </si>
  <si>
    <t>Belo Horizonte/MG</t>
  </si>
  <si>
    <t>Equipamentos</t>
  </si>
  <si>
    <t>13/09/2026 11:20</t>
  </si>
  <si>
    <t>Enviar à Logística</t>
  </si>
  <si>
    <t>Significado</t>
  </si>
  <si>
    <t>Quem deve agir</t>
  </si>
  <si>
    <t>Cotação recebida e aguardando análise/precificação.</t>
  </si>
  <si>
    <t>Cotação enviada ao cliente.</t>
  </si>
  <si>
    <t>Cliente solicitou ajuste ou Comercial está revisando.</t>
  </si>
  <si>
    <t>Comercial AMG / Cliente</t>
  </si>
  <si>
    <t>Cliente aprovou a cotação.</t>
  </si>
  <si>
    <t>Cliente deve preencher solicitação de frete</t>
  </si>
  <si>
    <t>Reprovada</t>
  </si>
  <si>
    <t>Cliente não aprovou a cotação.</t>
  </si>
  <si>
    <t>Processo comercial encerrado</t>
  </si>
  <si>
    <t>Solicitação de frete foi enviada.</t>
  </si>
  <si>
    <t>Comercial está conferindo os dados.</t>
  </si>
  <si>
    <t>Ordem de Coleta foi gerada.</t>
  </si>
  <si>
    <t>Ordem de Coleta foi enviada para a Logística.</t>
  </si>
  <si>
    <t>Objetivo</t>
  </si>
  <si>
    <t>Geração automática</t>
  </si>
  <si>
    <t>Toda OC enviada à Logística gera um item na agenda.</t>
  </si>
  <si>
    <t>Nenhum carregamento fica fora do acompanhamento.</t>
  </si>
  <si>
    <t>Destacar HOJE, AMANHÃ, PRÓXIMO e ATRASADO/PENDENTE.</t>
  </si>
  <si>
    <t>Chamar atenção do Comercial AMG.</t>
  </si>
  <si>
    <t>Confirmação</t>
  </si>
  <si>
    <t>Mostrar se a Logística confirmou data/horário.</t>
  </si>
  <si>
    <t>Evitar assumir que um carregamento está confirmado quando ainda não está.</t>
  </si>
  <si>
    <t>Reagendamento</t>
  </si>
  <si>
    <t>Manter nova data e histórico/observação.</t>
  </si>
  <si>
    <t>Permitir acompanhar mudanças sem perder rastreabilidade.</t>
  </si>
  <si>
    <t>BACKLOG DE DESENVOLVIMENTO – ESCOPO ATUAL</t>
  </si>
  <si>
    <t>Lista objetiva para Mateus desenvolver, testar e validar a versão do aplicativo.</t>
  </si>
  <si>
    <t>ID</t>
  </si>
  <si>
    <t>Funcionalidade</t>
  </si>
  <si>
    <t>Descrição</t>
  </si>
  <si>
    <t>Prioridade</t>
  </si>
  <si>
    <t>Critério de aceite</t>
  </si>
  <si>
    <t>Perfil</t>
  </si>
  <si>
    <t>Dependência</t>
  </si>
  <si>
    <t>APP-01</t>
  </si>
  <si>
    <t>Login e cadastro</t>
  </si>
  <si>
    <t>Corrigir login/e-mail e identificar comprador + empresa.</t>
  </si>
  <si>
    <t>Alta</t>
  </si>
  <si>
    <t>A fazer</t>
  </si>
  <si>
    <t>Usuário entra e o sistema reconhece comprador e empresa.</t>
  </si>
  <si>
    <t>Cliente/AMG</t>
  </si>
  <si>
    <t>APP-02</t>
  </si>
  <si>
    <t>Cotação rápida</t>
  </si>
  <si>
    <t>Formulário mínimo para engenheiro/consultor em campo.</t>
  </si>
  <si>
    <t>Consegue enviar uma cotação com poucos campos pelo celular.</t>
  </si>
  <si>
    <t>APP-03</t>
  </si>
  <si>
    <t>Cotação completa</t>
  </si>
  <si>
    <t>Formulário detalhado para comprador no escritório.</t>
  </si>
  <si>
    <t>Registra rota, carga, veículo e necessidades adicionais.</t>
  </si>
  <si>
    <t>APP-04</t>
  </si>
  <si>
    <t>Painel comercial</t>
  </si>
  <si>
    <t>Lista cotações por empresa, comprador, rota, status e data.</t>
  </si>
  <si>
    <t>Permite filtrar e localizar qualquer solicitação.</t>
  </si>
  <si>
    <t>AMG</t>
  </si>
  <si>
    <t>APP-02/03</t>
  </si>
  <si>
    <t>APP-05</t>
  </si>
  <si>
    <t>Formação de FC</t>
  </si>
  <si>
    <t>Tela interna com motorista, pedágio, impostos, seguro e outros custos.</t>
  </si>
  <si>
    <t>FC é somado automaticamente e nunca aparece para o cliente.</t>
  </si>
  <si>
    <t>APP-06</t>
  </si>
  <si>
    <t>Margem e FE</t>
  </si>
  <si>
    <t>Aplicar margem/markup sobre FC e calcular FE.</t>
  </si>
  <si>
    <t>FE = FC × (1 + margem); cliente vê somente FE.</t>
  </si>
  <si>
    <t>APP-07</t>
  </si>
  <si>
    <t>Adicionais</t>
  </si>
  <si>
    <t>Diária, ajudante, empilhadeira, guincho/Munck, descarga e outros.</t>
  </si>
  <si>
    <t>Somatório aparece no total e apenas adicionais cobrados ficam visíveis ao cliente.</t>
  </si>
  <si>
    <t>APP-08</t>
  </si>
  <si>
    <t>Disponibilizar proposta ao cliente.</t>
  </si>
  <si>
    <t>Status muda para Respondida e registra data/hora.</t>
  </si>
  <si>
    <t>APP-06/07</t>
  </si>
  <si>
    <t>APP-09</t>
  </si>
  <si>
    <t>Aprovação/negociação</t>
  </si>
  <si>
    <t>Cliente aprova, reprova ou solicita negociação.</t>
  </si>
  <si>
    <t>Decisão fica registrada com usuário/data/hora.</t>
  </si>
  <si>
    <t>APP-10</t>
  </si>
  <si>
    <t>Histórico de versões</t>
  </si>
  <si>
    <t>Guardar versões da proposta sem sobrescrever anteriores.</t>
  </si>
  <si>
    <t>É possível saber qual versão foi aprovada.</t>
  </si>
  <si>
    <t>APP-11</t>
  </si>
  <si>
    <t>Solicitação de frete</t>
  </si>
  <si>
    <t>Após aprovação, liberar formulário operacional completo.</t>
  </si>
  <si>
    <t>Dados da cotação são reaproveitados; cliente só complementa.</t>
  </si>
  <si>
    <t>APP-12</t>
  </si>
  <si>
    <t>Validação da solicitação</t>
  </si>
  <si>
    <t>Comercial AMG confere dados e devolve pendências.</t>
  </si>
  <si>
    <t>Somente solicitação validada pode gerar OC.</t>
  </si>
  <si>
    <t>APP-13</t>
  </si>
  <si>
    <t>Transformar solicitação validada em OC.</t>
  </si>
  <si>
    <t>OC mantém vínculo com cotação, empresa e comprador.</t>
  </si>
  <si>
    <t>APP-14</t>
  </si>
  <si>
    <t>Enviar OC à Logística</t>
  </si>
  <si>
    <t>Registrar envio formal da Ordem de Coleta.</t>
  </si>
  <si>
    <t>Status final = Enviada à Logística, com data/hora/responsável.</t>
  </si>
  <si>
    <t>Fim do escopo atual.</t>
  </si>
  <si>
    <t>APP-15</t>
  </si>
  <si>
    <t>Ao enviar a OC para a Logística, criar automaticamente um compromisso na agenda do Comercial AMG.</t>
  </si>
  <si>
    <t>A agenda recebe OC, empresa, comprador, rota, data/hora e status sem redigitação.</t>
  </si>
  <si>
    <t>Permanece no escopo atual como ferramenta de acompanhamento.</t>
  </si>
  <si>
    <t>APP-16</t>
  </si>
  <si>
    <t>Alertas da agenda</t>
  </si>
  <si>
    <t>Destacar carregamentos próximos e os que ainda não foram confirmados ou foram reagendados.</t>
  </si>
  <si>
    <t>Itens de hoje/amanhã/próximos dias aparecem com alerta visual; pendências ficam evidentes.</t>
  </si>
  <si>
    <t>Não substitui o módulo operacional da Logística.</t>
  </si>
  <si>
    <t>RESUMO EXECUTIVO – APLICATIVO DE FRETE AMG</t>
  </si>
  <si>
    <t>Visão final para discussão do projeto com desenvolvimento.</t>
  </si>
  <si>
    <t>1. COTAÇÃO RÁPIDA
Engenheiro / campo
Mínimo de informações</t>
  </si>
  <si>
    <t>2. COTAÇÃO COMPLETA
Comprador / escritório
Informações completas</t>
  </si>
  <si>
    <t>3. ANÁLISE AMG
Validação da solicitação</t>
  </si>
  <si>
    <t>4. FORMAÇÃO DE PREÇO
FC → Margem → FE
Somente Comercial AMG</t>
  </si>
  <si>
    <t>5. ENVIO DA COTAÇÃO
FE + adicionais
Cliente recebe proposta</t>
  </si>
  <si>
    <t>6. APROVAÇÃO
Aprovar / negociar /
reprovar</t>
  </si>
  <si>
    <t>7. SOLICITAÇÃO DE FRETE
Cliente complementa
dados operacionais</t>
  </si>
  <si>
    <t>8. VALIDAÇÃO AMG
Conferência final dos dados</t>
  </si>
  <si>
    <t>9. ORDEM DE COLETA
Sistema gera a OC</t>
  </si>
  <si>
    <t>10. ENVIO À LOGÍSTICA
Handoff formal
Fim do escopo atual</t>
  </si>
  <si>
    <t>11. AGENDA DE CARREGAMENTOS
Criada automaticamente após envio da OC
Alertas: hoje / amanhã / pendente</t>
  </si>
  <si>
    <t>FORA DO ESCOPO ATUAL
Captação do veículo
Acompanhamento operacional
Entrega / conclusão</t>
  </si>
  <si>
    <t>FORMAÇÃO DE PREÇO – ÁREA EXCLUSIVA DO COMERCIAL AMG</t>
  </si>
  <si>
    <t>Motorista</t>
  </si>
  <si>
    <t>+</t>
  </si>
  <si>
    <t>Outros custos</t>
  </si>
  <si>
    <t>igual a</t>
  </si>
  <si>
    <t>FC</t>
  </si>
  <si>
    <t>×</t>
  </si>
  <si>
    <t>(1 + Margem)</t>
  </si>
  <si>
    <t>FE</t>
  </si>
  <si>
    <t>Diária / Ajudante / Empilhadeira / Munck / Outros</t>
  </si>
  <si>
    <t>TOTAL COTAÇÃO</t>
  </si>
  <si>
    <t>REGRA PRINCIPAL: o cliente visualiza o FE, os adicionais aplicáveis e o valor total da cotação. A composição do FC e a margem são informações internas do Comercial AMG.</t>
  </si>
  <si>
    <t>AGENDA DE CARREGAMENTOS – COMERCIAL AMG</t>
  </si>
  <si>
    <t>Acompanhamento dos carregamentos após a Ordem de Coleta ser enviada à Logística. Esta agenda não substitui a operação logística; serve para controle comercial, confirmação e alertas.</t>
  </si>
  <si>
    <t>CARREGAMENTOS HOJE</t>
  </si>
  <si>
    <t>PRÓXIMOS 7 DIAS</t>
  </si>
  <si>
    <t>SEM CONFIRMAÇÃO</t>
  </si>
  <si>
    <t>REAGENDADOS</t>
  </si>
  <si>
    <t>Data carregamento</t>
  </si>
  <si>
    <t>Nº OC</t>
  </si>
  <si>
    <t>Resp. Logística</t>
  </si>
  <si>
    <t>Status agenda</t>
  </si>
  <si>
    <t>Confirmado?</t>
  </si>
  <si>
    <t>Dias p/ carregar</t>
  </si>
  <si>
    <t>Alerta</t>
  </si>
  <si>
    <t>Observações</t>
  </si>
  <si>
    <t>14:00</t>
  </si>
  <si>
    <t>OC-04587</t>
  </si>
  <si>
    <t>CT-0123</t>
  </si>
  <si>
    <t>Cliente Exemplo A</t>
  </si>
  <si>
    <t>Ryan</t>
  </si>
  <si>
    <t>Aguardando confirmação</t>
  </si>
  <si>
    <t>Confirmar horário com a Logística.</t>
  </si>
  <si>
    <t>08:00</t>
  </si>
  <si>
    <t>OC-04588</t>
  </si>
  <si>
    <t>CT-0124</t>
  </si>
  <si>
    <t>Cliente Exemplo B</t>
  </si>
  <si>
    <t>Programado</t>
  </si>
  <si>
    <t>07:30</t>
  </si>
  <si>
    <t>OC-04589</t>
  </si>
  <si>
    <t>CT-0125</t>
  </si>
  <si>
    <t>Cliente Exemplo C</t>
  </si>
  <si>
    <t>Confirmado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</si>
</sst>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8">
    <font>
      <sz val="11"/>
      <name val="Carlito"/>
    </font>
    <font>
      <b/>
      <sz val="16"/>
      <color rgb="FFFFFFFF"/>
      <name val="Carlito"/>
    </font>
    <font>
      <i/>
      <sz val="10"/>
      <color rgb="FF1F2937"/>
      <name val="Carlito"/>
    </font>
    <font>
      <b/>
      <sz val="11"/>
      <color rgb="FFFFFFFF"/>
      <name val="Carlito"/>
    </font>
    <font>
      <b/>
      <sz val="11"/>
      <color rgb="FF1F2937"/>
      <name val="Carlito"/>
    </font>
    <font>
      <b/>
      <sz val="10"/>
      <color rgb="FF1F2937"/>
      <name val="Carlito"/>
    </font>
    <font>
      <i/>
      <sz val="11"/>
      <color rgb="FF1F2937"/>
      <name val="Carlito"/>
    </font>
    <font>
      <b/>
      <sz val="14"/>
      <color rgb="FF1F2937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0B3B6E"/>
      </patternFill>
    </fill>
    <fill>
      <patternFill patternType="solid">
        <fgColor rgb="FFDCEEFF"/>
      </patternFill>
    </fill>
    <fill>
      <patternFill patternType="solid">
        <fgColor rgb="FF1E73BE"/>
      </patternFill>
    </fill>
    <fill>
      <patternFill patternType="solid">
        <fgColor rgb="FFFFF2CC"/>
      </patternFill>
    </fill>
    <fill>
      <patternFill patternType="solid">
        <fgColor rgb="FFDDF3E4"/>
      </patternFill>
    </fill>
    <fill>
      <patternFill patternType="solid">
        <fgColor rgb="FFF7FAFC"/>
      </patternFill>
    </fill>
    <fill>
      <patternFill patternType="solid">
        <fgColor rgb="FFE5E7EB"/>
      </patternFill>
    </fill>
    <fill>
      <patternFill patternType="solid">
        <fgColor rgb="FFDCEEFF"/>
      </patternFill>
    </fill>
    <fill>
      <patternFill patternType="solid">
        <fgColor rgb="FFFFF2CC"/>
      </patternFill>
    </fill>
    <fill>
      <patternFill patternType="solid">
        <fgColor rgb="FF0B3B6E"/>
      </patternFill>
    </fill>
    <fill>
      <patternFill patternType="solid">
        <fgColor rgb="FFE5E7EB"/>
      </patternFill>
    </fill>
    <fill>
      <patternFill patternType="solid">
        <fgColor rgb="FF1E73BE"/>
      </patternFill>
    </fill>
    <fill>
      <patternFill patternType="solid">
        <fgColor rgb="FFF7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4" fillId="5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4" fillId="3" borderId="0" xfId="0" applyFont="1" applyFill="1" applyAlignment="1">
      <alignment wrapText="1"/>
    </xf>
    <xf numFmtId="164" fontId="0" fillId="0" borderId="0" xfId="0" applyNumberFormat="1"/>
    <xf numFmtId="10" fontId="0" fillId="0" borderId="0" xfId="0" applyNumberFormat="1"/>
    <xf numFmtId="0" fontId="0" fillId="5" borderId="0" xfId="0" applyFill="1"/>
    <xf numFmtId="164" fontId="0" fillId="5" borderId="0" xfId="0" applyNumberFormat="1" applyFill="1"/>
    <xf numFmtId="0" fontId="0" fillId="6" borderId="0" xfId="0" applyFill="1"/>
    <xf numFmtId="164" fontId="0" fillId="6" borderId="0" xfId="0" applyNumberFormat="1" applyFill="1"/>
    <xf numFmtId="0" fontId="4" fillId="3" borderId="0" xfId="0" applyFont="1" applyFill="1"/>
    <xf numFmtId="164" fontId="4" fillId="3" borderId="0" xfId="0" applyNumberFormat="1" applyFont="1" applyFill="1"/>
    <xf numFmtId="0" fontId="4" fillId="3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wrapText="1"/>
    </xf>
    <xf numFmtId="0" fontId="4" fillId="10" borderId="0" xfId="0" applyFont="1" applyFill="1"/>
    <xf numFmtId="0" fontId="3" fillId="11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14" fontId="0" fillId="0" borderId="0" xfId="0" applyNumberFormat="1" applyAlignment="1">
      <alignment wrapText="1"/>
    </xf>
    <xf numFmtId="22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4" fillId="7" borderId="0" xfId="0" applyFont="1" applyFill="1" applyAlignment="1">
      <alignment vertical="top" wrapText="1"/>
    </xf>
    <xf numFmtId="0" fontId="4" fillId="3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/>
    </xf>
    <xf numFmtId="0" fontId="7" fillId="14" borderId="0" xfId="0" applyFont="1" applyFill="1" applyAlignment="1">
      <alignment horizontal="center" vertical="center"/>
    </xf>
  </cellXfs>
  <cellStyles count="1">
    <cellStyle name="Normal" xfId="0" builtinId="0"/>
  </cellStyles>
  <dxfs count="13">
    <dxf>
      <font>
        <color rgb="FF176B3A"/>
      </font>
      <fill>
        <patternFill patternType="solid">
          <bgColor rgb="FFDDF3E4"/>
        </patternFill>
      </fill>
    </dxf>
    <dxf>
      <font>
        <b/>
        <color rgb="FF8B0000"/>
      </font>
      <fill>
        <patternFill patternType="solid">
          <bgColor rgb="FFF8B4B4"/>
        </patternFill>
      </fill>
    </dxf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FFF2CC"/>
        </patternFill>
      </fill>
    </dxf>
    <dxf>
      <font>
        <b/>
      </font>
      <fill>
        <patternFill patternType="solid">
          <bgColor rgb="FFFDE2E2"/>
        </patternFill>
      </fill>
    </dxf>
    <dxf>
      <font>
        <b/>
      </font>
      <fill>
        <patternFill patternType="solid">
          <bgColor rgb="FFFFF2CC"/>
        </patternFill>
      </fill>
    </dxf>
    <dxf>
      <font>
        <b/>
        <color rgb="FF176B3A"/>
      </font>
      <fill>
        <patternFill patternType="solid">
          <bgColor rgb="FFDDF3E4"/>
        </patternFill>
      </fill>
    </dxf>
    <dxf>
      <font>
        <b/>
      </font>
      <fill>
        <patternFill patternType="solid">
          <bgColor rgb="FFFCE4D6"/>
        </patternFill>
      </fill>
    </dxf>
    <dxf>
      <font>
        <b/>
      </font>
      <fill>
        <patternFill>
          <bgColor rgb="FFDCEEFF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ont>
        <b/>
      </font>
      <fill>
        <patternFill>
          <bgColor rgb="FFFDE2E2"/>
        </patternFill>
      </fill>
    </dxf>
    <dxf>
      <font>
        <b/>
        <color rgb="FF176B3A"/>
      </font>
      <fill>
        <patternFill>
          <bgColor rgb="FFDDF3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sqref="A1:J1"/>
    </sheetView>
  </sheetViews>
  <sheetFormatPr defaultRowHeight="14.25"/>
  <cols>
    <col min="1" max="1" width="8" customWidth="1"/>
    <col min="2" max="2" width="25" customWidth="1"/>
    <col min="3" max="3" width="38" customWidth="1"/>
    <col min="4" max="4" width="42" customWidth="1"/>
    <col min="5" max="5" width="23" customWidth="1"/>
    <col min="6" max="6" width="22" customWidth="1"/>
    <col min="7" max="7" width="38" customWidth="1"/>
    <col min="8" max="9" width="28" customWidth="1"/>
    <col min="10" max="10" width="34" customWidth="1"/>
  </cols>
  <sheetData>
    <row r="1" spans="1:10" ht="30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30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</row>
    <row r="4" spans="1:10" ht="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42.75">
      <c r="A5" s="2">
        <v>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</row>
    <row r="6" spans="1:10" ht="42.75">
      <c r="A6" s="2">
        <v>2</v>
      </c>
      <c r="B6" s="2" t="s">
        <v>21</v>
      </c>
      <c r="C6" s="2" t="s">
        <v>22</v>
      </c>
      <c r="D6" s="2" t="s">
        <v>23</v>
      </c>
      <c r="E6" s="2" t="s">
        <v>15</v>
      </c>
      <c r="F6" s="2" t="s">
        <v>16</v>
      </c>
      <c r="G6" s="2" t="s">
        <v>24</v>
      </c>
      <c r="H6" s="2" t="s">
        <v>18</v>
      </c>
      <c r="I6" s="2" t="s">
        <v>19</v>
      </c>
      <c r="J6" s="2" t="s">
        <v>25</v>
      </c>
    </row>
    <row r="7" spans="1:10" ht="28.5">
      <c r="A7" s="2">
        <v>3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16</v>
      </c>
      <c r="G7" s="2" t="s">
        <v>30</v>
      </c>
      <c r="H7" s="2" t="s">
        <v>31</v>
      </c>
      <c r="I7" s="2" t="s">
        <v>32</v>
      </c>
      <c r="J7" s="2"/>
    </row>
    <row r="8" spans="1:10" ht="30">
      <c r="A8" s="4">
        <v>4</v>
      </c>
      <c r="B8" s="4" t="s">
        <v>26</v>
      </c>
      <c r="C8" s="4" t="s">
        <v>33</v>
      </c>
      <c r="D8" s="4" t="s">
        <v>34</v>
      </c>
      <c r="E8" s="4" t="s">
        <v>35</v>
      </c>
      <c r="F8" s="4" t="s">
        <v>16</v>
      </c>
      <c r="G8" s="4" t="s">
        <v>36</v>
      </c>
      <c r="H8" s="4" t="s">
        <v>37</v>
      </c>
      <c r="I8" s="4" t="s">
        <v>38</v>
      </c>
      <c r="J8" s="4" t="s">
        <v>39</v>
      </c>
    </row>
    <row r="9" spans="1:10" ht="42.75">
      <c r="A9" s="2">
        <v>5</v>
      </c>
      <c r="B9" s="2" t="s">
        <v>26</v>
      </c>
      <c r="C9" s="2" t="s">
        <v>40</v>
      </c>
      <c r="D9" s="2" t="s">
        <v>41</v>
      </c>
      <c r="E9" s="2" t="s">
        <v>42</v>
      </c>
      <c r="F9" s="2" t="s">
        <v>16</v>
      </c>
      <c r="G9" s="2" t="s">
        <v>43</v>
      </c>
      <c r="H9" s="2" t="s">
        <v>44</v>
      </c>
      <c r="I9" s="2" t="s">
        <v>45</v>
      </c>
      <c r="J9" s="2"/>
    </row>
    <row r="10" spans="1:10" ht="28.5">
      <c r="A10" s="2">
        <v>6</v>
      </c>
      <c r="B10" s="2" t="s">
        <v>46</v>
      </c>
      <c r="C10" s="2" t="s">
        <v>47</v>
      </c>
      <c r="D10" s="2" t="s">
        <v>48</v>
      </c>
      <c r="E10" s="2" t="s">
        <v>15</v>
      </c>
      <c r="F10" s="2" t="s">
        <v>49</v>
      </c>
      <c r="G10" s="2" t="s">
        <v>50</v>
      </c>
      <c r="H10" s="2" t="s">
        <v>51</v>
      </c>
      <c r="I10" s="2" t="s">
        <v>52</v>
      </c>
      <c r="J10" s="2"/>
    </row>
    <row r="11" spans="1:10" ht="28.5">
      <c r="A11" s="2">
        <v>7</v>
      </c>
      <c r="B11" s="2" t="s">
        <v>53</v>
      </c>
      <c r="C11" s="2" t="s">
        <v>54</v>
      </c>
      <c r="D11" s="2" t="s">
        <v>55</v>
      </c>
      <c r="E11" s="2" t="s">
        <v>15</v>
      </c>
      <c r="F11" s="2" t="s">
        <v>56</v>
      </c>
      <c r="G11" s="2" t="s">
        <v>57</v>
      </c>
      <c r="H11" s="2" t="s">
        <v>58</v>
      </c>
      <c r="I11" s="2" t="s">
        <v>59</v>
      </c>
      <c r="J11" s="2"/>
    </row>
    <row r="12" spans="1:10" ht="28.5">
      <c r="A12" s="2">
        <v>8</v>
      </c>
      <c r="B12" s="2" t="s">
        <v>60</v>
      </c>
      <c r="C12" s="2" t="s">
        <v>61</v>
      </c>
      <c r="D12" s="2" t="s">
        <v>62</v>
      </c>
      <c r="E12" s="2" t="s">
        <v>15</v>
      </c>
      <c r="F12" s="2" t="s">
        <v>63</v>
      </c>
      <c r="G12" s="2" t="s">
        <v>64</v>
      </c>
      <c r="H12" s="2" t="s">
        <v>65</v>
      </c>
      <c r="I12" s="2" t="s">
        <v>66</v>
      </c>
      <c r="J12" s="2"/>
    </row>
    <row r="13" spans="1:10" ht="42.75">
      <c r="A13" s="2">
        <v>9</v>
      </c>
      <c r="B13" s="2" t="s">
        <v>67</v>
      </c>
      <c r="C13" s="2" t="s">
        <v>68</v>
      </c>
      <c r="D13" s="2" t="s">
        <v>69</v>
      </c>
      <c r="E13" s="2" t="s">
        <v>15</v>
      </c>
      <c r="F13" s="2" t="s">
        <v>70</v>
      </c>
      <c r="G13" s="2" t="s">
        <v>71</v>
      </c>
      <c r="H13" s="2" t="s">
        <v>72</v>
      </c>
      <c r="I13" s="2" t="s">
        <v>73</v>
      </c>
      <c r="J13" s="2"/>
    </row>
    <row r="14" spans="1:10" ht="28.5">
      <c r="A14" s="2">
        <v>10</v>
      </c>
      <c r="B14" s="2" t="s">
        <v>26</v>
      </c>
      <c r="C14" s="2" t="s">
        <v>74</v>
      </c>
      <c r="D14" s="2" t="s">
        <v>75</v>
      </c>
      <c r="E14" s="2" t="s">
        <v>29</v>
      </c>
      <c r="F14" s="2" t="s">
        <v>76</v>
      </c>
      <c r="G14" s="2" t="s">
        <v>77</v>
      </c>
      <c r="H14" s="2" t="s">
        <v>78</v>
      </c>
      <c r="I14" s="2" t="s">
        <v>79</v>
      </c>
      <c r="J14" s="2"/>
    </row>
    <row r="15" spans="1:10" ht="28.5">
      <c r="A15" s="2">
        <v>11</v>
      </c>
      <c r="B15" s="2" t="s">
        <v>46</v>
      </c>
      <c r="C15" s="2" t="s">
        <v>80</v>
      </c>
      <c r="D15" s="2" t="s">
        <v>81</v>
      </c>
      <c r="E15" s="2" t="s">
        <v>26</v>
      </c>
      <c r="F15" s="2" t="s">
        <v>82</v>
      </c>
      <c r="G15" s="2" t="s">
        <v>83</v>
      </c>
      <c r="H15" s="2" t="s">
        <v>84</v>
      </c>
      <c r="I15" s="2" t="s">
        <v>85</v>
      </c>
      <c r="J15" s="2"/>
    </row>
    <row r="16" spans="1:10" ht="45">
      <c r="A16" s="19">
        <v>12</v>
      </c>
      <c r="B16" s="19" t="s">
        <v>46</v>
      </c>
      <c r="C16" s="19" t="s">
        <v>86</v>
      </c>
      <c r="D16" s="19" t="s">
        <v>87</v>
      </c>
      <c r="E16" s="19" t="s">
        <v>88</v>
      </c>
      <c r="F16" s="19" t="s">
        <v>89</v>
      </c>
      <c r="G16" s="19" t="s">
        <v>90</v>
      </c>
      <c r="H16" s="19" t="s">
        <v>91</v>
      </c>
      <c r="I16" s="19" t="s">
        <v>92</v>
      </c>
      <c r="J16" s="19" t="s">
        <v>93</v>
      </c>
    </row>
    <row r="17" spans="1:10" ht="15">
      <c r="A17" s="20">
        <v>13</v>
      </c>
      <c r="B17" s="20" t="s">
        <v>26</v>
      </c>
      <c r="C17" s="20" t="s">
        <v>94</v>
      </c>
      <c r="D17" s="20" t="s">
        <v>95</v>
      </c>
      <c r="E17" s="20" t="s">
        <v>96</v>
      </c>
      <c r="F17" s="20" t="s">
        <v>97</v>
      </c>
      <c r="G17" s="20" t="s">
        <v>98</v>
      </c>
      <c r="H17" s="20" t="s">
        <v>99</v>
      </c>
      <c r="I17" s="20" t="s">
        <v>100</v>
      </c>
      <c r="J17" s="20" t="s">
        <v>101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"/>
  <sheetViews>
    <sheetView workbookViewId="0"/>
  </sheetViews>
  <sheetFormatPr defaultRowHeight="14.25"/>
  <cols>
    <col min="1" max="1" width="18" customWidth="1"/>
    <col min="2" max="2" width="30" customWidth="1"/>
    <col min="3" max="3" width="16" customWidth="1"/>
    <col min="4" max="4" width="17" customWidth="1"/>
    <col min="5" max="5" width="18" customWidth="1"/>
    <col min="6" max="6" width="17" customWidth="1"/>
    <col min="7" max="7" width="21" customWidth="1"/>
    <col min="8" max="8" width="18" customWidth="1"/>
    <col min="9" max="9" width="34" customWidth="1"/>
    <col min="10" max="10" width="18" customWidth="1"/>
    <col min="11" max="11" width="34" customWidth="1"/>
  </cols>
  <sheetData>
    <row r="1" spans="1:11" ht="30" customHeight="1">
      <c r="A1" s="26" t="s">
        <v>102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30" customHeight="1">
      <c r="A2" s="27" t="s">
        <v>103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1" ht="30">
      <c r="A4" s="1" t="s">
        <v>104</v>
      </c>
      <c r="B4" s="1" t="s">
        <v>105</v>
      </c>
      <c r="C4" s="1" t="s">
        <v>106</v>
      </c>
      <c r="D4" s="1" t="s">
        <v>107</v>
      </c>
      <c r="E4" s="1" t="s">
        <v>108</v>
      </c>
      <c r="F4" s="1" t="s">
        <v>109</v>
      </c>
      <c r="G4" s="1" t="s">
        <v>110</v>
      </c>
      <c r="H4" s="1" t="s">
        <v>111</v>
      </c>
      <c r="I4" s="1" t="s">
        <v>112</v>
      </c>
      <c r="J4" s="1" t="s">
        <v>113</v>
      </c>
      <c r="K4" s="1" t="s">
        <v>11</v>
      </c>
    </row>
    <row r="5" spans="1:11">
      <c r="A5" s="2" t="s">
        <v>114</v>
      </c>
      <c r="B5" s="2" t="s">
        <v>115</v>
      </c>
      <c r="C5" s="2" t="s">
        <v>116</v>
      </c>
      <c r="D5" s="2" t="s">
        <v>116</v>
      </c>
      <c r="E5" s="2" t="s">
        <v>116</v>
      </c>
      <c r="F5" s="2" t="s">
        <v>117</v>
      </c>
      <c r="G5" s="2" t="s">
        <v>118</v>
      </c>
      <c r="H5" s="2" t="s">
        <v>119</v>
      </c>
      <c r="I5" s="2" t="s">
        <v>120</v>
      </c>
      <c r="J5" s="2" t="s">
        <v>117</v>
      </c>
      <c r="K5" s="2" t="s">
        <v>121</v>
      </c>
    </row>
    <row r="6" spans="1:11">
      <c r="A6" s="2" t="s">
        <v>114</v>
      </c>
      <c r="B6" s="2" t="s">
        <v>122</v>
      </c>
      <c r="C6" s="2" t="s">
        <v>116</v>
      </c>
      <c r="D6" s="2" t="s">
        <v>116</v>
      </c>
      <c r="E6" s="2" t="s">
        <v>116</v>
      </c>
      <c r="F6" s="2" t="s">
        <v>117</v>
      </c>
      <c r="G6" s="2" t="s">
        <v>118</v>
      </c>
      <c r="H6" s="2" t="s">
        <v>123</v>
      </c>
      <c r="I6" s="2" t="s">
        <v>124</v>
      </c>
      <c r="J6" s="2" t="s">
        <v>117</v>
      </c>
      <c r="K6" s="2" t="s">
        <v>121</v>
      </c>
    </row>
    <row r="7" spans="1:11">
      <c r="A7" s="2" t="s">
        <v>114</v>
      </c>
      <c r="B7" s="2" t="s">
        <v>125</v>
      </c>
      <c r="C7" s="2" t="s">
        <v>116</v>
      </c>
      <c r="D7" s="2" t="s">
        <v>116</v>
      </c>
      <c r="E7" s="2" t="s">
        <v>126</v>
      </c>
      <c r="F7" s="2" t="s">
        <v>117</v>
      </c>
      <c r="G7" s="2" t="s">
        <v>127</v>
      </c>
      <c r="H7" s="2" t="s">
        <v>116</v>
      </c>
      <c r="I7" s="2" t="s">
        <v>128</v>
      </c>
      <c r="J7" s="2" t="s">
        <v>117</v>
      </c>
      <c r="K7" s="2" t="s">
        <v>129</v>
      </c>
    </row>
    <row r="8" spans="1:11">
      <c r="A8" s="2" t="s">
        <v>130</v>
      </c>
      <c r="B8" s="2" t="s">
        <v>131</v>
      </c>
      <c r="C8" s="2" t="s">
        <v>117</v>
      </c>
      <c r="D8" s="2" t="s">
        <v>117</v>
      </c>
      <c r="E8" s="2" t="s">
        <v>117</v>
      </c>
      <c r="F8" s="2" t="s">
        <v>117</v>
      </c>
      <c r="G8" s="2" t="s">
        <v>53</v>
      </c>
      <c r="H8" s="2" t="s">
        <v>132</v>
      </c>
      <c r="I8" s="2" t="s">
        <v>133</v>
      </c>
      <c r="J8" s="2" t="s">
        <v>117</v>
      </c>
      <c r="K8" s="2" t="s">
        <v>134</v>
      </c>
    </row>
    <row r="9" spans="1:11" ht="28.5">
      <c r="A9" s="2" t="s">
        <v>130</v>
      </c>
      <c r="B9" s="2" t="s">
        <v>135</v>
      </c>
      <c r="C9" s="2" t="s">
        <v>136</v>
      </c>
      <c r="D9" s="2" t="s">
        <v>117</v>
      </c>
      <c r="E9" s="2" t="s">
        <v>117</v>
      </c>
      <c r="F9" s="2" t="s">
        <v>137</v>
      </c>
      <c r="G9" s="2" t="s">
        <v>53</v>
      </c>
      <c r="H9" s="2" t="s">
        <v>119</v>
      </c>
      <c r="I9" s="2" t="s">
        <v>138</v>
      </c>
      <c r="J9" s="2" t="s">
        <v>117</v>
      </c>
      <c r="K9" s="2"/>
    </row>
    <row r="10" spans="1:11">
      <c r="A10" s="2" t="s">
        <v>130</v>
      </c>
      <c r="B10" s="2" t="s">
        <v>139</v>
      </c>
      <c r="C10" s="2" t="s">
        <v>117</v>
      </c>
      <c r="D10" s="2" t="s">
        <v>117</v>
      </c>
      <c r="E10" s="2" t="s">
        <v>117</v>
      </c>
      <c r="F10" s="2" t="s">
        <v>117</v>
      </c>
      <c r="G10" s="2" t="s">
        <v>53</v>
      </c>
      <c r="H10" s="2" t="s">
        <v>132</v>
      </c>
      <c r="I10" s="2" t="s">
        <v>133</v>
      </c>
      <c r="J10" s="2" t="s">
        <v>117</v>
      </c>
      <c r="K10" s="2"/>
    </row>
    <row r="11" spans="1:11" ht="28.5">
      <c r="A11" s="2" t="s">
        <v>130</v>
      </c>
      <c r="B11" s="2" t="s">
        <v>140</v>
      </c>
      <c r="C11" s="2" t="s">
        <v>136</v>
      </c>
      <c r="D11" s="2" t="s">
        <v>117</v>
      </c>
      <c r="E11" s="2" t="s">
        <v>117</v>
      </c>
      <c r="F11" s="2" t="s">
        <v>137</v>
      </c>
      <c r="G11" s="2" t="s">
        <v>53</v>
      </c>
      <c r="H11" s="2" t="s">
        <v>119</v>
      </c>
      <c r="I11" s="2" t="s">
        <v>138</v>
      </c>
      <c r="J11" s="2" t="s">
        <v>117</v>
      </c>
      <c r="K11" s="2"/>
    </row>
    <row r="12" spans="1:11">
      <c r="A12" s="2" t="s">
        <v>141</v>
      </c>
      <c r="B12" s="2" t="s">
        <v>142</v>
      </c>
      <c r="C12" s="2" t="s">
        <v>117</v>
      </c>
      <c r="D12" s="2" t="s">
        <v>117</v>
      </c>
      <c r="E12" s="2" t="s">
        <v>117</v>
      </c>
      <c r="F12" s="2" t="s">
        <v>117</v>
      </c>
      <c r="G12" s="2" t="s">
        <v>53</v>
      </c>
      <c r="H12" s="2" t="s">
        <v>143</v>
      </c>
      <c r="I12" s="2" t="s">
        <v>144</v>
      </c>
      <c r="J12" s="2" t="s">
        <v>117</v>
      </c>
      <c r="K12" s="2"/>
    </row>
    <row r="13" spans="1:11">
      <c r="A13" s="2" t="s">
        <v>141</v>
      </c>
      <c r="B13" s="2" t="s">
        <v>145</v>
      </c>
      <c r="C13" s="2" t="s">
        <v>117</v>
      </c>
      <c r="D13" s="2" t="s">
        <v>117</v>
      </c>
      <c r="E13" s="2" t="s">
        <v>117</v>
      </c>
      <c r="F13" s="2" t="s">
        <v>117</v>
      </c>
      <c r="G13" s="2" t="s">
        <v>53</v>
      </c>
      <c r="H13" s="2" t="s">
        <v>146</v>
      </c>
      <c r="I13" s="2" t="s">
        <v>147</v>
      </c>
      <c r="J13" s="2" t="s">
        <v>117</v>
      </c>
      <c r="K13" s="2"/>
    </row>
    <row r="14" spans="1:11" ht="28.5">
      <c r="A14" s="2" t="s">
        <v>141</v>
      </c>
      <c r="B14" s="2" t="s">
        <v>148</v>
      </c>
      <c r="C14" s="2" t="s">
        <v>149</v>
      </c>
      <c r="D14" s="2" t="s">
        <v>117</v>
      </c>
      <c r="E14" s="2" t="s">
        <v>117</v>
      </c>
      <c r="F14" s="2" t="s">
        <v>137</v>
      </c>
      <c r="G14" s="2" t="s">
        <v>53</v>
      </c>
      <c r="H14" s="2" t="s">
        <v>146</v>
      </c>
      <c r="I14" s="2" t="s">
        <v>150</v>
      </c>
      <c r="J14" s="2" t="s">
        <v>117</v>
      </c>
      <c r="K14" s="2"/>
    </row>
    <row r="15" spans="1:11">
      <c r="A15" s="2" t="s">
        <v>141</v>
      </c>
      <c r="B15" s="2" t="s">
        <v>151</v>
      </c>
      <c r="C15" s="2" t="s">
        <v>149</v>
      </c>
      <c r="D15" s="2" t="s">
        <v>117</v>
      </c>
      <c r="E15" s="2" t="s">
        <v>117</v>
      </c>
      <c r="F15" s="2" t="s">
        <v>152</v>
      </c>
      <c r="G15" s="2" t="s">
        <v>53</v>
      </c>
      <c r="H15" s="2" t="s">
        <v>153</v>
      </c>
      <c r="I15" s="2" t="s">
        <v>154</v>
      </c>
      <c r="J15" s="2" t="s">
        <v>117</v>
      </c>
      <c r="K15" s="2"/>
    </row>
    <row r="16" spans="1:11">
      <c r="A16" s="2" t="s">
        <v>141</v>
      </c>
      <c r="B16" s="2" t="s">
        <v>155</v>
      </c>
      <c r="C16" s="2" t="s">
        <v>136</v>
      </c>
      <c r="D16" s="2" t="s">
        <v>149</v>
      </c>
      <c r="E16" s="2" t="s">
        <v>117</v>
      </c>
      <c r="F16" s="2" t="s">
        <v>156</v>
      </c>
      <c r="G16" s="2" t="s">
        <v>53</v>
      </c>
      <c r="H16" s="2" t="s">
        <v>157</v>
      </c>
      <c r="I16" s="2" t="s">
        <v>158</v>
      </c>
      <c r="J16" s="2" t="s">
        <v>117</v>
      </c>
      <c r="K16" s="2"/>
    </row>
    <row r="17" spans="1:11">
      <c r="A17" s="2" t="s">
        <v>159</v>
      </c>
      <c r="B17" s="2" t="s">
        <v>160</v>
      </c>
      <c r="C17" s="2" t="s">
        <v>149</v>
      </c>
      <c r="D17" s="2" t="s">
        <v>117</v>
      </c>
      <c r="E17" s="2" t="s">
        <v>117</v>
      </c>
      <c r="F17" s="2" t="s">
        <v>161</v>
      </c>
      <c r="G17" s="2" t="s">
        <v>162</v>
      </c>
      <c r="H17" s="2" t="s">
        <v>163</v>
      </c>
      <c r="I17" s="2" t="s">
        <v>164</v>
      </c>
      <c r="J17" s="2" t="s">
        <v>117</v>
      </c>
      <c r="K17" s="2"/>
    </row>
    <row r="18" spans="1:11">
      <c r="A18" s="2" t="s">
        <v>165</v>
      </c>
      <c r="B18" s="2" t="s">
        <v>166</v>
      </c>
      <c r="C18" s="2" t="s">
        <v>136</v>
      </c>
      <c r="D18" s="2" t="s">
        <v>117</v>
      </c>
      <c r="E18" s="2" t="s">
        <v>117</v>
      </c>
      <c r="F18" s="2" t="s">
        <v>136</v>
      </c>
      <c r="G18" s="2" t="s">
        <v>162</v>
      </c>
      <c r="H18" s="2" t="s">
        <v>167</v>
      </c>
      <c r="I18" s="2" t="s">
        <v>168</v>
      </c>
      <c r="J18" s="2" t="s">
        <v>169</v>
      </c>
      <c r="K18" s="2"/>
    </row>
    <row r="19" spans="1:11">
      <c r="A19" s="2" t="s">
        <v>165</v>
      </c>
      <c r="B19" s="2" t="s">
        <v>170</v>
      </c>
      <c r="C19" s="2" t="s">
        <v>136</v>
      </c>
      <c r="D19" s="2" t="s">
        <v>117</v>
      </c>
      <c r="E19" s="2" t="s">
        <v>117</v>
      </c>
      <c r="F19" s="2" t="s">
        <v>136</v>
      </c>
      <c r="G19" s="2" t="s">
        <v>162</v>
      </c>
      <c r="H19" s="2" t="s">
        <v>167</v>
      </c>
      <c r="I19" s="2" t="s">
        <v>171</v>
      </c>
      <c r="J19" s="2" t="s">
        <v>172</v>
      </c>
      <c r="K19" s="2"/>
    </row>
    <row r="20" spans="1:11">
      <c r="A20" s="2" t="s">
        <v>165</v>
      </c>
      <c r="B20" s="2" t="s">
        <v>173</v>
      </c>
      <c r="C20" s="2" t="s">
        <v>136</v>
      </c>
      <c r="D20" s="2" t="s">
        <v>117</v>
      </c>
      <c r="E20" s="2" t="s">
        <v>117</v>
      </c>
      <c r="F20" s="2" t="s">
        <v>136</v>
      </c>
      <c r="G20" s="2" t="s">
        <v>162</v>
      </c>
      <c r="H20" s="2" t="s">
        <v>167</v>
      </c>
      <c r="I20" s="2" t="s">
        <v>174</v>
      </c>
      <c r="J20" s="2" t="s">
        <v>169</v>
      </c>
      <c r="K20" s="2"/>
    </row>
    <row r="21" spans="1:11">
      <c r="A21" s="2" t="s">
        <v>165</v>
      </c>
      <c r="B21" s="2" t="s">
        <v>175</v>
      </c>
      <c r="C21" s="2" t="s">
        <v>136</v>
      </c>
      <c r="D21" s="2" t="s">
        <v>117</v>
      </c>
      <c r="E21" s="2" t="s">
        <v>117</v>
      </c>
      <c r="F21" s="2" t="s">
        <v>136</v>
      </c>
      <c r="G21" s="2" t="s">
        <v>162</v>
      </c>
      <c r="H21" s="2" t="s">
        <v>167</v>
      </c>
      <c r="I21" s="2" t="s">
        <v>176</v>
      </c>
      <c r="J21" s="2" t="s">
        <v>172</v>
      </c>
      <c r="K21" s="2"/>
    </row>
    <row r="22" spans="1:11">
      <c r="A22" s="2" t="s">
        <v>165</v>
      </c>
      <c r="B22" s="2" t="s">
        <v>177</v>
      </c>
      <c r="C22" s="2" t="s">
        <v>136</v>
      </c>
      <c r="D22" s="2" t="s">
        <v>117</v>
      </c>
      <c r="E22" s="2" t="s">
        <v>117</v>
      </c>
      <c r="F22" s="2" t="s">
        <v>136</v>
      </c>
      <c r="G22" s="2" t="s">
        <v>162</v>
      </c>
      <c r="H22" s="2" t="s">
        <v>178</v>
      </c>
      <c r="I22" s="2" t="s">
        <v>179</v>
      </c>
      <c r="J22" s="2" t="s">
        <v>172</v>
      </c>
      <c r="K22" s="2"/>
    </row>
    <row r="23" spans="1:11">
      <c r="A23" s="2" t="s">
        <v>156</v>
      </c>
      <c r="B23" s="2" t="s">
        <v>180</v>
      </c>
      <c r="C23" s="2"/>
      <c r="D23" s="2"/>
      <c r="E23" s="2" t="s">
        <v>117</v>
      </c>
      <c r="F23" s="2" t="s">
        <v>117</v>
      </c>
      <c r="G23" s="2" t="s">
        <v>53</v>
      </c>
      <c r="H23" s="2" t="s">
        <v>143</v>
      </c>
      <c r="I23" s="2" t="s">
        <v>181</v>
      </c>
      <c r="J23" s="2" t="s">
        <v>117</v>
      </c>
      <c r="K23" s="2"/>
    </row>
    <row r="24" spans="1:11">
      <c r="A24" s="2" t="s">
        <v>156</v>
      </c>
      <c r="B24" s="2" t="s">
        <v>182</v>
      </c>
      <c r="C24" s="2"/>
      <c r="D24" s="2"/>
      <c r="E24" s="2" t="s">
        <v>117</v>
      </c>
      <c r="F24" s="2" t="s">
        <v>117</v>
      </c>
      <c r="G24" s="2" t="s">
        <v>53</v>
      </c>
      <c r="H24" s="2" t="s">
        <v>119</v>
      </c>
      <c r="I24" s="2" t="s">
        <v>183</v>
      </c>
      <c r="J24" s="2" t="s">
        <v>117</v>
      </c>
      <c r="K24" s="2"/>
    </row>
    <row r="25" spans="1:11">
      <c r="A25" s="2" t="s">
        <v>156</v>
      </c>
      <c r="B25" s="2" t="s">
        <v>184</v>
      </c>
      <c r="C25" s="2"/>
      <c r="D25" s="2"/>
      <c r="E25" s="2" t="s">
        <v>117</v>
      </c>
      <c r="F25" s="2" t="s">
        <v>117</v>
      </c>
      <c r="G25" s="2" t="s">
        <v>53</v>
      </c>
      <c r="H25" s="2" t="s">
        <v>119</v>
      </c>
      <c r="I25" s="2" t="s">
        <v>185</v>
      </c>
      <c r="J25" s="2" t="s">
        <v>117</v>
      </c>
      <c r="K25" s="2"/>
    </row>
    <row r="26" spans="1:11">
      <c r="A26" s="2" t="s">
        <v>156</v>
      </c>
      <c r="B26" s="2" t="s">
        <v>186</v>
      </c>
      <c r="C26" s="2"/>
      <c r="D26" s="2"/>
      <c r="E26" s="2" t="s">
        <v>117</v>
      </c>
      <c r="F26" s="2" t="s">
        <v>117</v>
      </c>
      <c r="G26" s="2" t="s">
        <v>53</v>
      </c>
      <c r="H26" s="2" t="s">
        <v>119</v>
      </c>
      <c r="I26" s="2" t="s">
        <v>185</v>
      </c>
      <c r="J26" s="2" t="s">
        <v>117</v>
      </c>
      <c r="K26" s="2"/>
    </row>
    <row r="27" spans="1:11">
      <c r="A27" s="2" t="s">
        <v>156</v>
      </c>
      <c r="B27" s="2" t="s">
        <v>187</v>
      </c>
      <c r="C27" s="2"/>
      <c r="D27" s="2"/>
      <c r="E27" s="2" t="s">
        <v>117</v>
      </c>
      <c r="F27" s="2" t="s">
        <v>117</v>
      </c>
      <c r="G27" s="2" t="s">
        <v>53</v>
      </c>
      <c r="H27" s="2" t="s">
        <v>188</v>
      </c>
      <c r="I27" s="2" t="s">
        <v>189</v>
      </c>
      <c r="J27" s="2" t="s">
        <v>117</v>
      </c>
      <c r="K27" s="2"/>
    </row>
    <row r="28" spans="1:11">
      <c r="A28" s="2" t="s">
        <v>156</v>
      </c>
      <c r="B28" s="2" t="s">
        <v>190</v>
      </c>
      <c r="C28" s="2"/>
      <c r="D28" s="2"/>
      <c r="E28" s="2" t="s">
        <v>117</v>
      </c>
      <c r="F28" s="2" t="s">
        <v>136</v>
      </c>
      <c r="G28" s="2" t="s">
        <v>53</v>
      </c>
      <c r="H28" s="2" t="s">
        <v>191</v>
      </c>
      <c r="I28" s="2" t="s">
        <v>192</v>
      </c>
      <c r="J28" s="2" t="s">
        <v>117</v>
      </c>
      <c r="K28" s="2"/>
    </row>
    <row r="29" spans="1:11" ht="28.5">
      <c r="A29" s="2" t="s">
        <v>193</v>
      </c>
      <c r="B29" s="2" t="s">
        <v>194</v>
      </c>
      <c r="C29" s="2"/>
      <c r="D29" s="2"/>
      <c r="E29" s="2" t="s">
        <v>195</v>
      </c>
      <c r="F29" s="2" t="s">
        <v>117</v>
      </c>
      <c r="G29" s="2" t="s">
        <v>196</v>
      </c>
      <c r="H29" s="2" t="s">
        <v>197</v>
      </c>
      <c r="I29" s="2" t="s">
        <v>198</v>
      </c>
      <c r="J29" s="2" t="s">
        <v>199</v>
      </c>
      <c r="K29" s="2" t="s">
        <v>200</v>
      </c>
    </row>
    <row r="30" spans="1:11" ht="28.5">
      <c r="A30" s="2" t="s">
        <v>193</v>
      </c>
      <c r="B30" s="2" t="s">
        <v>201</v>
      </c>
      <c r="C30" s="2"/>
      <c r="D30" s="2"/>
      <c r="E30" s="2" t="s">
        <v>195</v>
      </c>
      <c r="F30" s="2" t="s">
        <v>202</v>
      </c>
      <c r="G30" s="2" t="s">
        <v>196</v>
      </c>
      <c r="H30" s="2" t="s">
        <v>203</v>
      </c>
      <c r="I30" s="2" t="s">
        <v>204</v>
      </c>
      <c r="J30" s="2" t="s">
        <v>199</v>
      </c>
      <c r="K30" s="2"/>
    </row>
    <row r="31" spans="1:11">
      <c r="A31" s="2" t="s">
        <v>193</v>
      </c>
      <c r="B31" s="2" t="s">
        <v>205</v>
      </c>
      <c r="C31" s="2"/>
      <c r="D31" s="2"/>
      <c r="E31" s="2" t="s">
        <v>116</v>
      </c>
      <c r="F31" s="2" t="s">
        <v>117</v>
      </c>
      <c r="G31" s="2" t="s">
        <v>127</v>
      </c>
      <c r="H31" s="2" t="s">
        <v>126</v>
      </c>
      <c r="I31" s="2" t="s">
        <v>206</v>
      </c>
      <c r="J31" s="2" t="s">
        <v>207</v>
      </c>
      <c r="K31" s="2"/>
    </row>
    <row r="32" spans="1:11" ht="28.5">
      <c r="A32" s="2" t="s">
        <v>193</v>
      </c>
      <c r="B32" s="2" t="s">
        <v>208</v>
      </c>
      <c r="C32" s="2"/>
      <c r="D32" s="2"/>
      <c r="E32" s="2" t="s">
        <v>116</v>
      </c>
      <c r="F32" s="2" t="s">
        <v>117</v>
      </c>
      <c r="G32" s="2" t="s">
        <v>127</v>
      </c>
      <c r="H32" s="2" t="s">
        <v>209</v>
      </c>
      <c r="I32" s="2" t="s">
        <v>210</v>
      </c>
      <c r="J32" s="2" t="s">
        <v>207</v>
      </c>
      <c r="K32" s="2" t="s">
        <v>211</v>
      </c>
    </row>
    <row r="33" spans="1:11">
      <c r="A33" s="2" t="s">
        <v>193</v>
      </c>
      <c r="B33" s="2" t="s">
        <v>212</v>
      </c>
      <c r="C33" s="2"/>
      <c r="D33" s="2"/>
      <c r="E33" s="2" t="s">
        <v>116</v>
      </c>
      <c r="F33" s="2" t="s">
        <v>117</v>
      </c>
      <c r="G33" s="2" t="s">
        <v>127</v>
      </c>
      <c r="H33" s="2" t="s">
        <v>119</v>
      </c>
      <c r="I33" s="2" t="s">
        <v>213</v>
      </c>
      <c r="J33" s="2" t="s">
        <v>207</v>
      </c>
      <c r="K33" s="2"/>
    </row>
    <row r="34" spans="1:11" ht="28.5">
      <c r="A34" s="2" t="s">
        <v>193</v>
      </c>
      <c r="B34" s="2" t="s">
        <v>159</v>
      </c>
      <c r="C34" s="2"/>
      <c r="D34" s="2"/>
      <c r="E34" s="2" t="s">
        <v>214</v>
      </c>
      <c r="F34" s="2" t="s">
        <v>215</v>
      </c>
      <c r="G34" s="2" t="s">
        <v>216</v>
      </c>
      <c r="H34" s="2" t="s">
        <v>143</v>
      </c>
      <c r="I34" s="2" t="s">
        <v>217</v>
      </c>
      <c r="J34" s="2" t="s">
        <v>207</v>
      </c>
      <c r="K34" s="2"/>
    </row>
    <row r="35" spans="1:11" ht="42.75">
      <c r="A35" s="2" t="s">
        <v>193</v>
      </c>
      <c r="B35" s="2" t="s">
        <v>218</v>
      </c>
      <c r="C35" s="2"/>
      <c r="D35" s="2"/>
      <c r="E35" s="2" t="s">
        <v>219</v>
      </c>
      <c r="F35" s="2" t="s">
        <v>117</v>
      </c>
      <c r="G35" s="2" t="s">
        <v>220</v>
      </c>
      <c r="H35" s="2" t="s">
        <v>163</v>
      </c>
      <c r="I35" s="2" t="s">
        <v>221</v>
      </c>
      <c r="J35" s="2" t="s">
        <v>207</v>
      </c>
      <c r="K35" s="2" t="s">
        <v>222</v>
      </c>
    </row>
    <row r="36" spans="1:11" ht="28.5">
      <c r="A36" s="2" t="s">
        <v>193</v>
      </c>
      <c r="B36" s="2" t="s">
        <v>223</v>
      </c>
      <c r="C36" s="2"/>
      <c r="D36" s="2"/>
      <c r="E36" s="2" t="s">
        <v>219</v>
      </c>
      <c r="F36" s="2" t="s">
        <v>136</v>
      </c>
      <c r="G36" s="2" t="s">
        <v>224</v>
      </c>
      <c r="H36" s="2" t="s">
        <v>225</v>
      </c>
      <c r="I36" s="2" t="s">
        <v>226</v>
      </c>
      <c r="J36" s="2" t="s">
        <v>207</v>
      </c>
      <c r="K36" s="2"/>
    </row>
    <row r="37" spans="1:11" ht="28.5">
      <c r="A37" s="2" t="s">
        <v>193</v>
      </c>
      <c r="B37" s="2" t="s">
        <v>227</v>
      </c>
      <c r="C37" s="2"/>
      <c r="D37" s="2"/>
      <c r="E37" s="2" t="s">
        <v>116</v>
      </c>
      <c r="F37" s="2" t="s">
        <v>117</v>
      </c>
      <c r="G37" s="2" t="s">
        <v>127</v>
      </c>
      <c r="H37" s="2" t="s">
        <v>116</v>
      </c>
      <c r="I37" s="2" t="s">
        <v>228</v>
      </c>
      <c r="J37" s="2" t="s">
        <v>207</v>
      </c>
      <c r="K37" s="2" t="s">
        <v>229</v>
      </c>
    </row>
    <row r="38" spans="1:11" ht="28.5">
      <c r="A38" s="2" t="s">
        <v>193</v>
      </c>
      <c r="B38" s="2" t="s">
        <v>230</v>
      </c>
      <c r="C38" s="2"/>
      <c r="D38" s="2"/>
      <c r="E38" s="2" t="s">
        <v>219</v>
      </c>
      <c r="F38" s="2" t="s">
        <v>136</v>
      </c>
      <c r="G38" s="2" t="s">
        <v>26</v>
      </c>
      <c r="H38" s="2" t="s">
        <v>119</v>
      </c>
      <c r="I38" s="2" t="s">
        <v>231</v>
      </c>
      <c r="J38" s="2" t="s">
        <v>207</v>
      </c>
      <c r="K38" s="2"/>
    </row>
  </sheetData>
  <mergeCells count="2">
    <mergeCell ref="A1:K1"/>
    <mergeCell ref="A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workbookViewId="0"/>
  </sheetViews>
  <sheetFormatPr defaultRowHeight="14.25"/>
  <cols>
    <col min="1" max="1" width="28" customWidth="1"/>
    <col min="2" max="2" width="24" customWidth="1"/>
    <col min="3" max="4" width="18" customWidth="1"/>
    <col min="5" max="5" width="34" customWidth="1"/>
    <col min="6" max="6" width="20" customWidth="1"/>
    <col min="7" max="7" width="34" customWidth="1"/>
    <col min="8" max="8" width="32" customWidth="1"/>
  </cols>
  <sheetData>
    <row r="1" spans="1:8" ht="30" customHeight="1">
      <c r="A1" s="26" t="s">
        <v>232</v>
      </c>
      <c r="B1" s="26"/>
      <c r="C1" s="26"/>
      <c r="D1" s="26"/>
      <c r="E1" s="26"/>
      <c r="F1" s="26"/>
      <c r="G1" s="26"/>
      <c r="H1" s="26"/>
    </row>
    <row r="2" spans="1:8" ht="30" customHeight="1">
      <c r="A2" s="27" t="s">
        <v>233</v>
      </c>
      <c r="B2" s="27"/>
      <c r="C2" s="27"/>
      <c r="D2" s="27"/>
      <c r="E2" s="27"/>
      <c r="F2" s="27"/>
      <c r="G2" s="27"/>
      <c r="H2" s="27"/>
    </row>
    <row r="4" spans="1:8" ht="15">
      <c r="A4" s="1" t="s">
        <v>234</v>
      </c>
      <c r="B4" s="1" t="s">
        <v>235</v>
      </c>
      <c r="C4" s="1" t="s">
        <v>236</v>
      </c>
      <c r="D4" s="1" t="s">
        <v>237</v>
      </c>
      <c r="E4" s="1" t="s">
        <v>238</v>
      </c>
      <c r="F4" s="1" t="s">
        <v>113</v>
      </c>
      <c r="G4" s="1" t="s">
        <v>239</v>
      </c>
      <c r="H4" s="1" t="s">
        <v>11</v>
      </c>
    </row>
    <row r="5" spans="1:8" ht="28.5">
      <c r="A5" s="2" t="s">
        <v>240</v>
      </c>
      <c r="B5" s="2" t="s">
        <v>241</v>
      </c>
      <c r="C5" s="2" t="s">
        <v>242</v>
      </c>
      <c r="D5" s="2" t="s">
        <v>243</v>
      </c>
      <c r="E5" s="2"/>
      <c r="F5" s="2" t="s">
        <v>136</v>
      </c>
      <c r="G5" s="2" t="s">
        <v>244</v>
      </c>
      <c r="H5" s="2" t="s">
        <v>245</v>
      </c>
    </row>
    <row r="6" spans="1:8" ht="28.5">
      <c r="A6" s="2" t="s">
        <v>246</v>
      </c>
      <c r="B6" s="2" t="s">
        <v>247</v>
      </c>
      <c r="C6" s="2" t="s">
        <v>242</v>
      </c>
      <c r="D6" s="2" t="s">
        <v>248</v>
      </c>
      <c r="E6" s="2"/>
      <c r="F6" s="2" t="s">
        <v>136</v>
      </c>
      <c r="G6" s="2" t="s">
        <v>244</v>
      </c>
      <c r="H6" s="2" t="s">
        <v>245</v>
      </c>
    </row>
    <row r="7" spans="1:8" ht="28.5">
      <c r="A7" s="2" t="s">
        <v>249</v>
      </c>
      <c r="B7" s="2" t="s">
        <v>250</v>
      </c>
      <c r="C7" s="2" t="s">
        <v>242</v>
      </c>
      <c r="D7" s="2" t="s">
        <v>251</v>
      </c>
      <c r="E7" s="2"/>
      <c r="F7" s="2" t="s">
        <v>136</v>
      </c>
      <c r="G7" s="2" t="s">
        <v>252</v>
      </c>
      <c r="H7" s="2" t="s">
        <v>245</v>
      </c>
    </row>
    <row r="8" spans="1:8" ht="28.5">
      <c r="A8" s="2" t="s">
        <v>253</v>
      </c>
      <c r="B8" s="2" t="s">
        <v>254</v>
      </c>
      <c r="C8" s="2" t="s">
        <v>242</v>
      </c>
      <c r="D8" s="2" t="s">
        <v>255</v>
      </c>
      <c r="E8" s="2"/>
      <c r="F8" s="2" t="s">
        <v>136</v>
      </c>
      <c r="G8" s="2" t="s">
        <v>256</v>
      </c>
      <c r="H8" s="2" t="s">
        <v>245</v>
      </c>
    </row>
    <row r="9" spans="1:8" ht="28.5">
      <c r="A9" s="2" t="s">
        <v>257</v>
      </c>
      <c r="B9" s="2" t="s">
        <v>258</v>
      </c>
      <c r="C9" s="2" t="s">
        <v>242</v>
      </c>
      <c r="D9" s="2" t="s">
        <v>259</v>
      </c>
      <c r="E9" s="2"/>
      <c r="F9" s="2" t="s">
        <v>136</v>
      </c>
      <c r="G9" s="2" t="s">
        <v>244</v>
      </c>
      <c r="H9" s="2" t="s">
        <v>245</v>
      </c>
    </row>
    <row r="10" spans="1:8" ht="28.5">
      <c r="A10" s="3" t="s">
        <v>260</v>
      </c>
      <c r="B10" s="3" t="s">
        <v>261</v>
      </c>
      <c r="C10" s="3" t="s">
        <v>242</v>
      </c>
      <c r="D10" s="3" t="s">
        <v>262</v>
      </c>
      <c r="E10" s="3" t="s">
        <v>263</v>
      </c>
      <c r="F10" s="3" t="s">
        <v>136</v>
      </c>
      <c r="G10" s="3" t="s">
        <v>264</v>
      </c>
      <c r="H10" s="3" t="s">
        <v>265</v>
      </c>
    </row>
    <row r="11" spans="1:8" ht="42.75">
      <c r="A11" s="2" t="s">
        <v>266</v>
      </c>
      <c r="B11" s="2" t="s">
        <v>267</v>
      </c>
      <c r="C11" s="2" t="s">
        <v>268</v>
      </c>
      <c r="D11" s="2" t="s">
        <v>269</v>
      </c>
      <c r="E11" s="2" t="s">
        <v>270</v>
      </c>
      <c r="F11" s="2" t="s">
        <v>136</v>
      </c>
      <c r="G11" s="2" t="s">
        <v>244</v>
      </c>
      <c r="H11" s="2" t="s">
        <v>271</v>
      </c>
    </row>
    <row r="12" spans="1:8" ht="42.75">
      <c r="A12" s="5" t="s">
        <v>272</v>
      </c>
      <c r="B12" s="5" t="s">
        <v>273</v>
      </c>
      <c r="C12" s="5" t="s">
        <v>242</v>
      </c>
      <c r="D12" s="5" t="s">
        <v>274</v>
      </c>
      <c r="E12" s="5" t="s">
        <v>275</v>
      </c>
      <c r="F12" s="5" t="s">
        <v>276</v>
      </c>
      <c r="G12" s="5" t="s">
        <v>264</v>
      </c>
      <c r="H12" s="5" t="s">
        <v>277</v>
      </c>
    </row>
    <row r="13" spans="1:8" ht="57">
      <c r="A13" s="2" t="s">
        <v>278</v>
      </c>
      <c r="B13" s="2" t="s">
        <v>279</v>
      </c>
      <c r="C13" s="2" t="s">
        <v>242</v>
      </c>
      <c r="D13" s="2" t="s">
        <v>259</v>
      </c>
      <c r="E13" s="2" t="s">
        <v>280</v>
      </c>
      <c r="F13" s="2" t="s">
        <v>117</v>
      </c>
      <c r="G13" s="2" t="s">
        <v>281</v>
      </c>
      <c r="H13" s="2" t="s">
        <v>282</v>
      </c>
    </row>
    <row r="14" spans="1:8" ht="30">
      <c r="A14" s="6" t="s">
        <v>283</v>
      </c>
      <c r="B14" s="6" t="s">
        <v>284</v>
      </c>
      <c r="C14" s="6" t="s">
        <v>242</v>
      </c>
      <c r="D14" s="6" t="s">
        <v>274</v>
      </c>
      <c r="E14" s="6" t="s">
        <v>285</v>
      </c>
      <c r="F14" s="6" t="s">
        <v>117</v>
      </c>
      <c r="G14" s="6" t="s">
        <v>264</v>
      </c>
      <c r="H14" s="6" t="s">
        <v>286</v>
      </c>
    </row>
    <row r="17" spans="1:8" ht="15">
      <c r="A17" s="28" t="s">
        <v>287</v>
      </c>
      <c r="B17" s="28"/>
      <c r="C17" s="28"/>
      <c r="D17" s="28"/>
      <c r="F17" s="28" t="s">
        <v>288</v>
      </c>
      <c r="G17" s="28"/>
      <c r="H17" s="28"/>
    </row>
    <row r="18" spans="1:8" ht="15">
      <c r="A18" s="1" t="s">
        <v>234</v>
      </c>
      <c r="B18" s="1" t="s">
        <v>289</v>
      </c>
      <c r="C18" s="1" t="s">
        <v>290</v>
      </c>
      <c r="D18" s="1" t="s">
        <v>11</v>
      </c>
      <c r="F18" s="29" t="s">
        <v>291</v>
      </c>
      <c r="G18" s="29"/>
      <c r="H18" s="29"/>
    </row>
    <row r="19" spans="1:8">
      <c r="A19" t="s">
        <v>240</v>
      </c>
      <c r="B19" s="7">
        <v>8000</v>
      </c>
      <c r="C19" t="s">
        <v>236</v>
      </c>
      <c r="D19" t="s">
        <v>292</v>
      </c>
      <c r="F19" s="29"/>
      <c r="G19" s="29"/>
      <c r="H19" s="29"/>
    </row>
    <row r="20" spans="1:8">
      <c r="A20" t="s">
        <v>246</v>
      </c>
      <c r="B20" s="7">
        <v>900</v>
      </c>
      <c r="C20" t="s">
        <v>236</v>
      </c>
      <c r="D20" t="s">
        <v>292</v>
      </c>
      <c r="F20" s="29"/>
      <c r="G20" s="29"/>
      <c r="H20" s="29"/>
    </row>
    <row r="21" spans="1:8">
      <c r="A21" t="s">
        <v>249</v>
      </c>
      <c r="B21" s="7">
        <v>700</v>
      </c>
      <c r="C21" t="s">
        <v>236</v>
      </c>
      <c r="D21" t="s">
        <v>292</v>
      </c>
      <c r="F21" s="29"/>
      <c r="G21" s="29"/>
      <c r="H21" s="29"/>
    </row>
    <row r="22" spans="1:8">
      <c r="A22" t="s">
        <v>253</v>
      </c>
      <c r="B22" s="7">
        <v>200</v>
      </c>
      <c r="C22" t="s">
        <v>236</v>
      </c>
      <c r="D22" t="s">
        <v>292</v>
      </c>
      <c r="F22" s="29"/>
      <c r="G22" s="29"/>
      <c r="H22" s="29"/>
    </row>
    <row r="23" spans="1:8">
      <c r="A23" t="s">
        <v>257</v>
      </c>
      <c r="B23" s="7">
        <v>0</v>
      </c>
      <c r="C23" t="s">
        <v>236</v>
      </c>
      <c r="D23" t="s">
        <v>292</v>
      </c>
      <c r="F23" s="29"/>
      <c r="G23" s="29"/>
      <c r="H23" s="29"/>
    </row>
    <row r="24" spans="1:8">
      <c r="A24" s="9" t="s">
        <v>260</v>
      </c>
      <c r="B24" s="10">
        <f>SUM(B19:B23)</f>
        <v>9800</v>
      </c>
      <c r="C24" s="9" t="s">
        <v>293</v>
      </c>
      <c r="D24" s="9" t="s">
        <v>294</v>
      </c>
      <c r="F24" s="29"/>
      <c r="G24" s="29"/>
      <c r="H24" s="29"/>
    </row>
    <row r="25" spans="1:8">
      <c r="A25" t="s">
        <v>295</v>
      </c>
      <c r="B25" s="8">
        <v>0.2</v>
      </c>
      <c r="C25" t="s">
        <v>296</v>
      </c>
      <c r="D25" t="s">
        <v>292</v>
      </c>
      <c r="F25" s="29"/>
      <c r="G25" s="29"/>
      <c r="H25" s="29"/>
    </row>
    <row r="26" spans="1:8">
      <c r="A26" s="11" t="s">
        <v>297</v>
      </c>
      <c r="B26" s="12">
        <f>B24*(1+B25)</f>
        <v>11760</v>
      </c>
      <c r="C26" s="11" t="s">
        <v>275</v>
      </c>
      <c r="D26" s="11" t="s">
        <v>294</v>
      </c>
    </row>
    <row r="27" spans="1:8">
      <c r="A27" t="s">
        <v>166</v>
      </c>
      <c r="B27" s="7">
        <v>0</v>
      </c>
      <c r="C27" t="s">
        <v>236</v>
      </c>
      <c r="D27" t="s">
        <v>298</v>
      </c>
    </row>
    <row r="28" spans="1:8">
      <c r="A28" t="s">
        <v>170</v>
      </c>
      <c r="B28" s="7">
        <v>0</v>
      </c>
      <c r="C28" t="s">
        <v>236</v>
      </c>
      <c r="D28" t="s">
        <v>298</v>
      </c>
    </row>
    <row r="29" spans="1:8">
      <c r="A29" t="s">
        <v>173</v>
      </c>
      <c r="B29" s="7">
        <v>0</v>
      </c>
      <c r="C29" t="s">
        <v>236</v>
      </c>
      <c r="D29" t="s">
        <v>298</v>
      </c>
    </row>
    <row r="30" spans="1:8">
      <c r="A30" t="s">
        <v>175</v>
      </c>
      <c r="B30" s="7">
        <v>0</v>
      </c>
      <c r="C30" t="s">
        <v>236</v>
      </c>
      <c r="D30" t="s">
        <v>298</v>
      </c>
    </row>
    <row r="31" spans="1:8">
      <c r="A31" t="s">
        <v>177</v>
      </c>
      <c r="B31" s="7">
        <v>0</v>
      </c>
      <c r="C31" t="s">
        <v>236</v>
      </c>
      <c r="D31" t="s">
        <v>298</v>
      </c>
    </row>
    <row r="32" spans="1:8">
      <c r="A32" t="s">
        <v>299</v>
      </c>
      <c r="B32" s="7">
        <f>SUM(B27:B31)</f>
        <v>0</v>
      </c>
      <c r="C32" t="s">
        <v>300</v>
      </c>
      <c r="D32" t="s">
        <v>294</v>
      </c>
    </row>
    <row r="33" spans="1:4" ht="15">
      <c r="A33" s="13" t="s">
        <v>283</v>
      </c>
      <c r="B33" s="14">
        <f>B26+B32</f>
        <v>11760</v>
      </c>
      <c r="C33" s="13" t="s">
        <v>285</v>
      </c>
      <c r="D33" s="13" t="s">
        <v>294</v>
      </c>
    </row>
  </sheetData>
  <mergeCells count="5">
    <mergeCell ref="A1:H1"/>
    <mergeCell ref="A2:H2"/>
    <mergeCell ref="A17:D17"/>
    <mergeCell ref="F17:H17"/>
    <mergeCell ref="F18:H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9"/>
  <sheetViews>
    <sheetView workbookViewId="0"/>
  </sheetViews>
  <sheetFormatPr defaultRowHeight="14.25"/>
  <cols>
    <col min="1" max="1" width="15" customWidth="1"/>
    <col min="2" max="2" width="14" customWidth="1"/>
    <col min="3" max="3" width="24" customWidth="1"/>
    <col min="4" max="4" width="22" customWidth="1"/>
    <col min="5" max="5" width="13" customWidth="1"/>
    <col min="6" max="7" width="20" customWidth="1"/>
    <col min="8" max="8" width="22" customWidth="1"/>
    <col min="9" max="9" width="18" customWidth="1"/>
    <col min="10" max="10" width="16" customWidth="1"/>
    <col min="11" max="11" width="20" customWidth="1"/>
    <col min="12" max="12" width="22" customWidth="1"/>
    <col min="13" max="13" width="24" customWidth="1"/>
  </cols>
  <sheetData>
    <row r="1" spans="1:13" ht="30" customHeight="1">
      <c r="A1" s="26" t="s">
        <v>301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30" customHeight="1">
      <c r="A2" s="27" t="s">
        <v>302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4" spans="1:13" ht="15">
      <c r="A4" s="1" t="s">
        <v>303</v>
      </c>
      <c r="B4" s="1" t="s">
        <v>197</v>
      </c>
      <c r="C4" s="1" t="s">
        <v>304</v>
      </c>
      <c r="D4" s="1" t="s">
        <v>305</v>
      </c>
      <c r="E4" s="1" t="s">
        <v>306</v>
      </c>
      <c r="F4" s="1" t="s">
        <v>307</v>
      </c>
      <c r="G4" s="1" t="s">
        <v>308</v>
      </c>
      <c r="H4" s="1" t="s">
        <v>309</v>
      </c>
      <c r="I4" s="1" t="s">
        <v>159</v>
      </c>
      <c r="J4" s="1" t="s">
        <v>310</v>
      </c>
      <c r="K4" s="1" t="s">
        <v>7</v>
      </c>
      <c r="L4" s="1" t="s">
        <v>311</v>
      </c>
      <c r="M4" s="1" t="s">
        <v>312</v>
      </c>
    </row>
    <row r="5" spans="1:13">
      <c r="A5" t="s">
        <v>313</v>
      </c>
      <c r="B5" t="s">
        <v>314</v>
      </c>
      <c r="C5" t="s">
        <v>315</v>
      </c>
      <c r="D5" t="s">
        <v>316</v>
      </c>
      <c r="E5" t="s">
        <v>317</v>
      </c>
      <c r="F5" t="s">
        <v>318</v>
      </c>
      <c r="G5" t="s">
        <v>319</v>
      </c>
      <c r="H5" t="s">
        <v>320</v>
      </c>
      <c r="I5" t="s">
        <v>321</v>
      </c>
      <c r="J5" s="7">
        <v>0</v>
      </c>
      <c r="K5" t="s">
        <v>16</v>
      </c>
      <c r="L5" t="s">
        <v>322</v>
      </c>
      <c r="M5" t="s">
        <v>323</v>
      </c>
    </row>
    <row r="6" spans="1:13">
      <c r="A6" t="s">
        <v>324</v>
      </c>
      <c r="B6" t="s">
        <v>314</v>
      </c>
      <c r="C6" t="s">
        <v>325</v>
      </c>
      <c r="D6" t="s">
        <v>326</v>
      </c>
      <c r="E6" t="s">
        <v>327</v>
      </c>
      <c r="F6" t="s">
        <v>328</v>
      </c>
      <c r="G6" t="s">
        <v>329</v>
      </c>
      <c r="H6" t="s">
        <v>330</v>
      </c>
      <c r="I6" t="s">
        <v>331</v>
      </c>
      <c r="J6" s="7">
        <v>13500</v>
      </c>
      <c r="K6" t="s">
        <v>49</v>
      </c>
      <c r="L6" t="s">
        <v>332</v>
      </c>
      <c r="M6" t="s">
        <v>333</v>
      </c>
    </row>
    <row r="7" spans="1:13">
      <c r="A7" t="s">
        <v>334</v>
      </c>
      <c r="B7" t="s">
        <v>335</v>
      </c>
      <c r="C7" t="s">
        <v>336</v>
      </c>
      <c r="D7" t="s">
        <v>337</v>
      </c>
      <c r="E7" t="s">
        <v>327</v>
      </c>
      <c r="F7" t="s">
        <v>338</v>
      </c>
      <c r="G7" t="s">
        <v>339</v>
      </c>
      <c r="H7" t="s">
        <v>340</v>
      </c>
      <c r="I7" t="s">
        <v>341</v>
      </c>
      <c r="J7" s="7">
        <v>9800</v>
      </c>
      <c r="K7" t="s">
        <v>342</v>
      </c>
      <c r="L7" t="s">
        <v>343</v>
      </c>
      <c r="M7" t="s">
        <v>344</v>
      </c>
    </row>
    <row r="8" spans="1:13">
      <c r="A8" t="s">
        <v>345</v>
      </c>
      <c r="B8" t="s">
        <v>335</v>
      </c>
      <c r="C8" t="s">
        <v>346</v>
      </c>
      <c r="D8" t="s">
        <v>347</v>
      </c>
      <c r="E8" t="s">
        <v>317</v>
      </c>
      <c r="F8" t="s">
        <v>348</v>
      </c>
      <c r="G8" t="s">
        <v>349</v>
      </c>
      <c r="H8" t="s">
        <v>350</v>
      </c>
      <c r="I8" t="s">
        <v>351</v>
      </c>
      <c r="J8" s="7">
        <v>7200</v>
      </c>
      <c r="K8" t="s">
        <v>352</v>
      </c>
      <c r="L8" t="s">
        <v>353</v>
      </c>
      <c r="M8" t="s">
        <v>354</v>
      </c>
    </row>
    <row r="9" spans="1:13">
      <c r="A9" t="s">
        <v>355</v>
      </c>
      <c r="B9" t="s">
        <v>356</v>
      </c>
      <c r="C9" t="s">
        <v>357</v>
      </c>
      <c r="D9" t="s">
        <v>358</v>
      </c>
      <c r="E9" t="s">
        <v>327</v>
      </c>
      <c r="F9" t="s">
        <v>318</v>
      </c>
      <c r="G9" t="s">
        <v>359</v>
      </c>
      <c r="H9" t="s">
        <v>360</v>
      </c>
      <c r="I9" t="s">
        <v>341</v>
      </c>
      <c r="J9" s="7">
        <v>10500</v>
      </c>
      <c r="K9" t="s">
        <v>70</v>
      </c>
      <c r="L9" t="s">
        <v>361</v>
      </c>
      <c r="M9" t="s">
        <v>362</v>
      </c>
    </row>
    <row r="10" spans="1:13">
      <c r="A10" t="s">
        <v>363</v>
      </c>
      <c r="B10" t="s">
        <v>364</v>
      </c>
      <c r="C10" t="s">
        <v>365</v>
      </c>
      <c r="D10" t="s">
        <v>366</v>
      </c>
      <c r="E10" t="s">
        <v>327</v>
      </c>
      <c r="F10" t="s">
        <v>367</v>
      </c>
      <c r="G10" t="s">
        <v>368</v>
      </c>
      <c r="H10" t="s">
        <v>369</v>
      </c>
      <c r="I10" t="s">
        <v>351</v>
      </c>
      <c r="J10" s="7">
        <v>14800</v>
      </c>
      <c r="K10" t="s">
        <v>82</v>
      </c>
      <c r="L10" t="s">
        <v>370</v>
      </c>
      <c r="M10" t="s">
        <v>371</v>
      </c>
    </row>
    <row r="14" spans="1:13" ht="15">
      <c r="A14" s="1" t="s">
        <v>7</v>
      </c>
      <c r="B14" s="1" t="s">
        <v>372</v>
      </c>
      <c r="C14" s="1" t="s">
        <v>373</v>
      </c>
    </row>
    <row r="15" spans="1:13" ht="71.25">
      <c r="A15" s="2" t="s">
        <v>16</v>
      </c>
      <c r="B15" s="2" t="s">
        <v>374</v>
      </c>
      <c r="C15" s="2" t="s">
        <v>26</v>
      </c>
    </row>
    <row r="16" spans="1:13" ht="42.75">
      <c r="A16" s="2" t="s">
        <v>49</v>
      </c>
      <c r="B16" s="2" t="s">
        <v>375</v>
      </c>
      <c r="C16" s="2" t="s">
        <v>53</v>
      </c>
    </row>
    <row r="17" spans="1:3" ht="57">
      <c r="A17" s="2" t="s">
        <v>342</v>
      </c>
      <c r="B17" s="2" t="s">
        <v>376</v>
      </c>
      <c r="C17" s="2" t="s">
        <v>377</v>
      </c>
    </row>
    <row r="18" spans="1:3" ht="28.5">
      <c r="A18" s="2" t="s">
        <v>352</v>
      </c>
      <c r="B18" s="2" t="s">
        <v>378</v>
      </c>
      <c r="C18" s="2" t="s">
        <v>379</v>
      </c>
    </row>
    <row r="19" spans="1:3" ht="42.75">
      <c r="A19" s="2" t="s">
        <v>380</v>
      </c>
      <c r="B19" s="2" t="s">
        <v>381</v>
      </c>
      <c r="C19" s="2" t="s">
        <v>382</v>
      </c>
    </row>
    <row r="20" spans="1:3" ht="42.75">
      <c r="A20" s="2" t="s">
        <v>70</v>
      </c>
      <c r="B20" s="2" t="s">
        <v>383</v>
      </c>
      <c r="C20" s="2" t="s">
        <v>26</v>
      </c>
    </row>
    <row r="21" spans="1:3" ht="42.75">
      <c r="A21" s="2" t="s">
        <v>76</v>
      </c>
      <c r="B21" s="2" t="s">
        <v>384</v>
      </c>
      <c r="C21" s="2" t="s">
        <v>26</v>
      </c>
    </row>
    <row r="22" spans="1:3" ht="42.75">
      <c r="A22" s="2" t="s">
        <v>82</v>
      </c>
      <c r="B22" s="2" t="s">
        <v>385</v>
      </c>
      <c r="C22" s="2" t="s">
        <v>26</v>
      </c>
    </row>
    <row r="23" spans="1:3" ht="57">
      <c r="A23" s="2" t="s">
        <v>89</v>
      </c>
      <c r="B23" s="2" t="s">
        <v>386</v>
      </c>
      <c r="C23" s="2" t="s">
        <v>100</v>
      </c>
    </row>
    <row r="25" spans="1:3" ht="30">
      <c r="A25" s="21" t="s">
        <v>92</v>
      </c>
      <c r="B25" s="21" t="s">
        <v>112</v>
      </c>
      <c r="C25" s="21" t="s">
        <v>387</v>
      </c>
    </row>
    <row r="26" spans="1:3" ht="71.25">
      <c r="A26" s="2" t="s">
        <v>388</v>
      </c>
      <c r="B26" s="2" t="s">
        <v>389</v>
      </c>
      <c r="C26" s="2" t="s">
        <v>390</v>
      </c>
    </row>
    <row r="27" spans="1:3" ht="85.5">
      <c r="A27" s="2" t="s">
        <v>227</v>
      </c>
      <c r="B27" s="2" t="s">
        <v>391</v>
      </c>
      <c r="C27" s="2" t="s">
        <v>392</v>
      </c>
    </row>
    <row r="28" spans="1:3" ht="57">
      <c r="A28" s="2" t="s">
        <v>393</v>
      </c>
      <c r="B28" s="2" t="s">
        <v>394</v>
      </c>
      <c r="C28" s="2" t="s">
        <v>395</v>
      </c>
    </row>
    <row r="29" spans="1:3" ht="57">
      <c r="A29" s="2" t="s">
        <v>396</v>
      </c>
      <c r="B29" s="2" t="s">
        <v>397</v>
      </c>
      <c r="C29" s="2" t="s">
        <v>398</v>
      </c>
    </row>
  </sheetData>
  <mergeCells count="2">
    <mergeCell ref="A1:M1"/>
    <mergeCell ref="A2:M2"/>
  </mergeCells>
  <conditionalFormatting sqref="K5:K100">
    <cfRule type="expression" dxfId="12" priority="1">
      <formula>K5="Aprovada"</formula>
    </cfRule>
    <cfRule type="expression" dxfId="11" priority="2">
      <formula>K5="Reprovada"</formula>
    </cfRule>
    <cfRule type="expression" dxfId="10" priority="3">
      <formula>K5="Em análise"</formula>
    </cfRule>
    <cfRule type="expression" dxfId="9" priority="4">
      <formula>K5="Negociação"</formula>
    </cfRule>
    <cfRule type="expression" dxfId="8" priority="5">
      <formula>K5="Enviada à Logística"</formula>
    </cfRule>
  </conditionalFormatting>
  <dataValidations count="1">
    <dataValidation type="list" sqref="K5:K100" xr:uid="{00000000-0002-0000-0300-000000000000}">
      <formula1>"Em análise,Respondida,Negociação,Aprovada,Reprovada,Frete solicitado,Em validação,OC emitida,Enviada à Logística"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workbookViewId="0"/>
  </sheetViews>
  <sheetFormatPr defaultRowHeight="14.25"/>
  <cols>
    <col min="1" max="1" width="12" customWidth="1"/>
    <col min="2" max="2" width="27" customWidth="1"/>
    <col min="3" max="3" width="43" customWidth="1"/>
    <col min="4" max="4" width="14" customWidth="1"/>
    <col min="5" max="5" width="20" customWidth="1"/>
    <col min="6" max="6" width="43" customWidth="1"/>
    <col min="7" max="7" width="18" customWidth="1"/>
    <col min="8" max="8" width="20" customWidth="1"/>
    <col min="9" max="9" width="30" customWidth="1"/>
  </cols>
  <sheetData>
    <row r="1" spans="1:9" ht="30" customHeight="1">
      <c r="A1" s="26" t="s">
        <v>399</v>
      </c>
      <c r="B1" s="26"/>
      <c r="C1" s="26"/>
      <c r="D1" s="26"/>
      <c r="E1" s="26"/>
      <c r="F1" s="26"/>
      <c r="G1" s="26"/>
      <c r="H1" s="26"/>
      <c r="I1" s="26"/>
    </row>
    <row r="2" spans="1:9" ht="30" customHeight="1">
      <c r="A2" s="27" t="s">
        <v>400</v>
      </c>
      <c r="B2" s="27"/>
      <c r="C2" s="27"/>
      <c r="D2" s="27"/>
      <c r="E2" s="27"/>
      <c r="F2" s="27"/>
      <c r="G2" s="27"/>
      <c r="H2" s="27"/>
      <c r="I2" s="27"/>
    </row>
    <row r="4" spans="1:9" ht="15">
      <c r="A4" s="1" t="s">
        <v>401</v>
      </c>
      <c r="B4" s="1" t="s">
        <v>402</v>
      </c>
      <c r="C4" s="1" t="s">
        <v>403</v>
      </c>
      <c r="D4" s="1" t="s">
        <v>404</v>
      </c>
      <c r="E4" s="1" t="s">
        <v>7</v>
      </c>
      <c r="F4" s="1" t="s">
        <v>405</v>
      </c>
      <c r="G4" s="1" t="s">
        <v>406</v>
      </c>
      <c r="H4" s="1" t="s">
        <v>407</v>
      </c>
      <c r="I4" s="1" t="s">
        <v>11</v>
      </c>
    </row>
    <row r="5" spans="1:9" ht="28.5">
      <c r="A5" s="2" t="s">
        <v>408</v>
      </c>
      <c r="B5" s="2" t="s">
        <v>409</v>
      </c>
      <c r="C5" s="2" t="s">
        <v>410</v>
      </c>
      <c r="D5" s="2" t="s">
        <v>411</v>
      </c>
      <c r="E5" s="2" t="s">
        <v>412</v>
      </c>
      <c r="F5" s="2" t="s">
        <v>413</v>
      </c>
      <c r="G5" s="2" t="s">
        <v>414</v>
      </c>
      <c r="H5" s="2"/>
      <c r="I5" s="2"/>
    </row>
    <row r="6" spans="1:9" ht="28.5">
      <c r="A6" s="2" t="s">
        <v>415</v>
      </c>
      <c r="B6" s="2" t="s">
        <v>416</v>
      </c>
      <c r="C6" s="2" t="s">
        <v>417</v>
      </c>
      <c r="D6" s="2" t="s">
        <v>411</v>
      </c>
      <c r="E6" s="2" t="s">
        <v>412</v>
      </c>
      <c r="F6" s="2" t="s">
        <v>418</v>
      </c>
      <c r="G6" s="2" t="s">
        <v>53</v>
      </c>
      <c r="H6" s="2" t="s">
        <v>408</v>
      </c>
      <c r="I6" s="2"/>
    </row>
    <row r="7" spans="1:9" ht="28.5">
      <c r="A7" s="2" t="s">
        <v>419</v>
      </c>
      <c r="B7" s="2" t="s">
        <v>420</v>
      </c>
      <c r="C7" s="2" t="s">
        <v>421</v>
      </c>
      <c r="D7" s="2" t="s">
        <v>411</v>
      </c>
      <c r="E7" s="2" t="s">
        <v>412</v>
      </c>
      <c r="F7" s="2" t="s">
        <v>422</v>
      </c>
      <c r="G7" s="2" t="s">
        <v>53</v>
      </c>
      <c r="H7" s="2" t="s">
        <v>408</v>
      </c>
      <c r="I7" s="2"/>
    </row>
    <row r="8" spans="1:9" ht="28.5">
      <c r="A8" s="2" t="s">
        <v>423</v>
      </c>
      <c r="B8" s="2" t="s">
        <v>424</v>
      </c>
      <c r="C8" s="2" t="s">
        <v>425</v>
      </c>
      <c r="D8" s="2" t="s">
        <v>411</v>
      </c>
      <c r="E8" s="2" t="s">
        <v>412</v>
      </c>
      <c r="F8" s="2" t="s">
        <v>426</v>
      </c>
      <c r="G8" s="2" t="s">
        <v>427</v>
      </c>
      <c r="H8" s="2" t="s">
        <v>428</v>
      </c>
      <c r="I8" s="2"/>
    </row>
    <row r="9" spans="1:9" ht="28.5">
      <c r="A9" s="2" t="s">
        <v>429</v>
      </c>
      <c r="B9" s="2" t="s">
        <v>430</v>
      </c>
      <c r="C9" s="2" t="s">
        <v>431</v>
      </c>
      <c r="D9" s="2" t="s">
        <v>411</v>
      </c>
      <c r="E9" s="2" t="s">
        <v>412</v>
      </c>
      <c r="F9" s="2" t="s">
        <v>432</v>
      </c>
      <c r="G9" s="2" t="s">
        <v>427</v>
      </c>
      <c r="H9" s="2" t="s">
        <v>428</v>
      </c>
      <c r="I9" s="2"/>
    </row>
    <row r="10" spans="1:9">
      <c r="A10" s="2" t="s">
        <v>433</v>
      </c>
      <c r="B10" s="2" t="s">
        <v>434</v>
      </c>
      <c r="C10" s="2" t="s">
        <v>435</v>
      </c>
      <c r="D10" s="2" t="s">
        <v>411</v>
      </c>
      <c r="E10" s="2" t="s">
        <v>412</v>
      </c>
      <c r="F10" s="2" t="s">
        <v>436</v>
      </c>
      <c r="G10" s="2" t="s">
        <v>427</v>
      </c>
      <c r="H10" s="2" t="s">
        <v>429</v>
      </c>
      <c r="I10" s="2"/>
    </row>
    <row r="11" spans="1:9" ht="28.5">
      <c r="A11" s="2" t="s">
        <v>437</v>
      </c>
      <c r="B11" s="2" t="s">
        <v>438</v>
      </c>
      <c r="C11" s="2" t="s">
        <v>439</v>
      </c>
      <c r="D11" s="2" t="s">
        <v>411</v>
      </c>
      <c r="E11" s="2" t="s">
        <v>412</v>
      </c>
      <c r="F11" s="2" t="s">
        <v>440</v>
      </c>
      <c r="G11" s="2" t="s">
        <v>427</v>
      </c>
      <c r="H11" s="2" t="s">
        <v>433</v>
      </c>
      <c r="I11" s="2"/>
    </row>
    <row r="12" spans="1:9" ht="28.5">
      <c r="A12" s="2" t="s">
        <v>441</v>
      </c>
      <c r="B12" s="2" t="s">
        <v>45</v>
      </c>
      <c r="C12" s="2" t="s">
        <v>442</v>
      </c>
      <c r="D12" s="2" t="s">
        <v>411</v>
      </c>
      <c r="E12" s="2" t="s">
        <v>412</v>
      </c>
      <c r="F12" s="2" t="s">
        <v>443</v>
      </c>
      <c r="G12" s="2" t="s">
        <v>427</v>
      </c>
      <c r="H12" s="2" t="s">
        <v>444</v>
      </c>
      <c r="I12" s="2"/>
    </row>
    <row r="13" spans="1:9">
      <c r="A13" s="2" t="s">
        <v>445</v>
      </c>
      <c r="B13" s="2" t="s">
        <v>446</v>
      </c>
      <c r="C13" s="2" t="s">
        <v>447</v>
      </c>
      <c r="D13" s="2" t="s">
        <v>411</v>
      </c>
      <c r="E13" s="2" t="s">
        <v>412</v>
      </c>
      <c r="F13" s="2" t="s">
        <v>448</v>
      </c>
      <c r="G13" s="2" t="s">
        <v>53</v>
      </c>
      <c r="H13" s="2" t="s">
        <v>441</v>
      </c>
      <c r="I13" s="2"/>
    </row>
    <row r="14" spans="1:9" ht="28.5">
      <c r="A14" s="2" t="s">
        <v>449</v>
      </c>
      <c r="B14" s="2" t="s">
        <v>450</v>
      </c>
      <c r="C14" s="2" t="s">
        <v>451</v>
      </c>
      <c r="D14" s="2" t="s">
        <v>411</v>
      </c>
      <c r="E14" s="2" t="s">
        <v>412</v>
      </c>
      <c r="F14" s="2" t="s">
        <v>452</v>
      </c>
      <c r="G14" s="2" t="s">
        <v>427</v>
      </c>
      <c r="H14" s="2" t="s">
        <v>445</v>
      </c>
      <c r="I14" s="2"/>
    </row>
    <row r="15" spans="1:9" ht="28.5">
      <c r="A15" s="2" t="s">
        <v>453</v>
      </c>
      <c r="B15" s="2" t="s">
        <v>454</v>
      </c>
      <c r="C15" s="2" t="s">
        <v>455</v>
      </c>
      <c r="D15" s="2" t="s">
        <v>411</v>
      </c>
      <c r="E15" s="2" t="s">
        <v>412</v>
      </c>
      <c r="F15" s="2" t="s">
        <v>456</v>
      </c>
      <c r="G15" s="2" t="s">
        <v>53</v>
      </c>
      <c r="H15" s="2" t="s">
        <v>445</v>
      </c>
      <c r="I15" s="2"/>
    </row>
    <row r="16" spans="1:9" ht="28.5">
      <c r="A16" s="2" t="s">
        <v>457</v>
      </c>
      <c r="B16" s="2" t="s">
        <v>458</v>
      </c>
      <c r="C16" s="2" t="s">
        <v>459</v>
      </c>
      <c r="D16" s="2" t="s">
        <v>411</v>
      </c>
      <c r="E16" s="2" t="s">
        <v>412</v>
      </c>
      <c r="F16" s="2" t="s">
        <v>460</v>
      </c>
      <c r="G16" s="2" t="s">
        <v>427</v>
      </c>
      <c r="H16" s="2" t="s">
        <v>453</v>
      </c>
      <c r="I16" s="2"/>
    </row>
    <row r="17" spans="1:9" ht="28.5">
      <c r="A17" s="2" t="s">
        <v>461</v>
      </c>
      <c r="B17" s="2" t="s">
        <v>79</v>
      </c>
      <c r="C17" s="2" t="s">
        <v>462</v>
      </c>
      <c r="D17" s="2" t="s">
        <v>411</v>
      </c>
      <c r="E17" s="2" t="s">
        <v>412</v>
      </c>
      <c r="F17" s="2" t="s">
        <v>463</v>
      </c>
      <c r="G17" s="2" t="s">
        <v>427</v>
      </c>
      <c r="H17" s="2" t="s">
        <v>457</v>
      </c>
      <c r="I17" s="2"/>
    </row>
    <row r="18" spans="1:9" ht="28.5">
      <c r="A18" s="2" t="s">
        <v>464</v>
      </c>
      <c r="B18" s="2" t="s">
        <v>465</v>
      </c>
      <c r="C18" s="2" t="s">
        <v>466</v>
      </c>
      <c r="D18" s="2" t="s">
        <v>411</v>
      </c>
      <c r="E18" s="2" t="s">
        <v>412</v>
      </c>
      <c r="F18" s="2" t="s">
        <v>467</v>
      </c>
      <c r="G18" s="2" t="s">
        <v>427</v>
      </c>
      <c r="H18" s="2" t="s">
        <v>461</v>
      </c>
      <c r="I18" s="2" t="s">
        <v>468</v>
      </c>
    </row>
    <row r="19" spans="1:9" ht="42.75">
      <c r="A19" s="2" t="s">
        <v>469</v>
      </c>
      <c r="B19" s="2" t="s">
        <v>92</v>
      </c>
      <c r="C19" s="2" t="s">
        <v>470</v>
      </c>
      <c r="D19" s="2" t="s">
        <v>411</v>
      </c>
      <c r="E19" s="2" t="s">
        <v>412</v>
      </c>
      <c r="F19" s="2" t="s">
        <v>471</v>
      </c>
      <c r="G19" s="2" t="s">
        <v>427</v>
      </c>
      <c r="H19" s="2" t="s">
        <v>464</v>
      </c>
      <c r="I19" s="2" t="s">
        <v>472</v>
      </c>
    </row>
    <row r="20" spans="1:9" ht="28.5">
      <c r="A20" s="2" t="s">
        <v>473</v>
      </c>
      <c r="B20" s="2" t="s">
        <v>474</v>
      </c>
      <c r="C20" s="2" t="s">
        <v>475</v>
      </c>
      <c r="D20" s="2" t="s">
        <v>411</v>
      </c>
      <c r="E20" s="2" t="s">
        <v>412</v>
      </c>
      <c r="F20" s="2" t="s">
        <v>476</v>
      </c>
      <c r="G20" s="2" t="s">
        <v>427</v>
      </c>
      <c r="H20" s="2" t="s">
        <v>469</v>
      </c>
      <c r="I20" s="2" t="s">
        <v>477</v>
      </c>
    </row>
  </sheetData>
  <mergeCells count="2">
    <mergeCell ref="A1:I1"/>
    <mergeCell ref="A2:I2"/>
  </mergeCells>
  <dataValidations count="2">
    <dataValidation type="list" sqref="D5:D100" xr:uid="{00000000-0002-0000-0400-000000000000}">
      <formula1>"Alta,Média,Baixa"</formula1>
    </dataValidation>
    <dataValidation type="list" sqref="E5:E100" xr:uid="{00000000-0002-0000-0400-000001000000}">
      <formula1>"A fazer,Em desenvolvimento,Em teste,Aprovado,Bloqueado"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6"/>
  <sheetViews>
    <sheetView tabSelected="1" workbookViewId="0">
      <selection sqref="A1:L1"/>
    </sheetView>
  </sheetViews>
  <sheetFormatPr defaultRowHeight="14.25"/>
  <cols>
    <col min="1" max="12" width="15" customWidth="1"/>
  </cols>
  <sheetData>
    <row r="1" spans="1:12" ht="30" customHeight="1">
      <c r="A1" s="26" t="s">
        <v>478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30" customHeight="1">
      <c r="A2" s="27" t="s">
        <v>479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4" spans="1:12">
      <c r="A4" s="30" t="s">
        <v>480</v>
      </c>
      <c r="B4" s="30"/>
      <c r="C4" s="30" t="s">
        <v>481</v>
      </c>
      <c r="D4" s="30"/>
      <c r="E4" s="31" t="s">
        <v>482</v>
      </c>
      <c r="F4" s="31"/>
      <c r="G4" s="32" t="s">
        <v>483</v>
      </c>
      <c r="H4" s="32"/>
      <c r="I4" s="33" t="s">
        <v>484</v>
      </c>
      <c r="J4" s="33"/>
      <c r="K4" s="33" t="s">
        <v>485</v>
      </c>
      <c r="L4" s="33"/>
    </row>
    <row r="5" spans="1:12">
      <c r="A5" s="30"/>
      <c r="B5" s="30"/>
      <c r="C5" s="30"/>
      <c r="D5" s="30"/>
      <c r="E5" s="31"/>
      <c r="F5" s="31"/>
      <c r="G5" s="32"/>
      <c r="H5" s="32"/>
      <c r="I5" s="33"/>
      <c r="J5" s="33"/>
      <c r="K5" s="33"/>
      <c r="L5" s="33"/>
    </row>
    <row r="6" spans="1:12">
      <c r="A6" s="30"/>
      <c r="B6" s="30"/>
      <c r="C6" s="30"/>
      <c r="D6" s="30"/>
      <c r="E6" s="31"/>
      <c r="F6" s="31"/>
      <c r="G6" s="32"/>
      <c r="H6" s="32"/>
      <c r="I6" s="33"/>
      <c r="J6" s="33"/>
      <c r="K6" s="33"/>
      <c r="L6" s="33"/>
    </row>
    <row r="7" spans="1:12">
      <c r="A7" s="30"/>
      <c r="B7" s="30"/>
      <c r="C7" s="30"/>
      <c r="D7" s="30"/>
      <c r="E7" s="31"/>
      <c r="F7" s="31"/>
      <c r="G7" s="32"/>
      <c r="H7" s="32"/>
      <c r="I7" s="33"/>
      <c r="J7" s="33"/>
      <c r="K7" s="33"/>
      <c r="L7" s="33"/>
    </row>
    <row r="10" spans="1:12">
      <c r="A10" s="30" t="s">
        <v>486</v>
      </c>
      <c r="B10" s="30"/>
      <c r="C10" s="31" t="s">
        <v>487</v>
      </c>
      <c r="D10" s="31"/>
      <c r="E10" s="33" t="s">
        <v>488</v>
      </c>
      <c r="F10" s="33"/>
      <c r="G10" s="30" t="s">
        <v>489</v>
      </c>
      <c r="H10" s="30"/>
      <c r="I10" s="34" t="s">
        <v>490</v>
      </c>
      <c r="J10" s="34"/>
      <c r="K10" s="35" t="s">
        <v>491</v>
      </c>
      <c r="L10" s="35"/>
    </row>
    <row r="11" spans="1:12">
      <c r="A11" s="30"/>
      <c r="B11" s="30"/>
      <c r="C11" s="31"/>
      <c r="D11" s="31"/>
      <c r="E11" s="33"/>
      <c r="F11" s="33"/>
      <c r="G11" s="30"/>
      <c r="H11" s="30"/>
      <c r="I11" s="34"/>
      <c r="J11" s="34"/>
      <c r="K11" s="35"/>
      <c r="L11" s="35"/>
    </row>
    <row r="12" spans="1:12">
      <c r="A12" s="30"/>
      <c r="B12" s="30"/>
      <c r="C12" s="31"/>
      <c r="D12" s="31"/>
      <c r="E12" s="33"/>
      <c r="F12" s="33"/>
      <c r="G12" s="30"/>
      <c r="H12" s="30"/>
      <c r="I12" s="34"/>
      <c r="J12" s="34"/>
      <c r="K12" s="35"/>
      <c r="L12" s="35"/>
    </row>
    <row r="13" spans="1:12">
      <c r="A13" s="30"/>
      <c r="B13" s="30"/>
      <c r="C13" s="31"/>
      <c r="D13" s="31"/>
      <c r="E13" s="33"/>
      <c r="F13" s="33"/>
      <c r="G13" s="30"/>
      <c r="H13" s="30"/>
      <c r="I13" s="34"/>
      <c r="J13" s="34"/>
      <c r="K13" s="35"/>
      <c r="L13" s="35"/>
    </row>
    <row r="16" spans="1:12" ht="15">
      <c r="A16" s="28" t="s">
        <v>492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</row>
    <row r="17" spans="1:12" ht="15">
      <c r="A17" s="18" t="s">
        <v>493</v>
      </c>
      <c r="B17" s="18" t="s">
        <v>494</v>
      </c>
      <c r="C17" s="18" t="s">
        <v>246</v>
      </c>
      <c r="D17" s="18" t="s">
        <v>494</v>
      </c>
      <c r="E17" s="18" t="s">
        <v>249</v>
      </c>
      <c r="F17" s="18" t="s">
        <v>494</v>
      </c>
      <c r="G17" s="18" t="s">
        <v>253</v>
      </c>
      <c r="H17" s="18" t="s">
        <v>494</v>
      </c>
      <c r="I17" s="18" t="s">
        <v>495</v>
      </c>
      <c r="J17" s="18" t="s">
        <v>496</v>
      </c>
      <c r="K17" s="16" t="s">
        <v>497</v>
      </c>
      <c r="L17" s="16"/>
    </row>
    <row r="18" spans="1:12" ht="1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5">
      <c r="A19" s="18" t="s">
        <v>497</v>
      </c>
      <c r="B19" s="18" t="s">
        <v>498</v>
      </c>
      <c r="C19" s="18" t="s">
        <v>499</v>
      </c>
      <c r="D19" s="18"/>
      <c r="E19" s="18"/>
      <c r="F19" s="18"/>
      <c r="G19" s="18"/>
      <c r="H19" s="18"/>
      <c r="I19" s="18"/>
      <c r="J19" s="18"/>
      <c r="K19" s="17" t="s">
        <v>500</v>
      </c>
      <c r="L19" s="17"/>
    </row>
    <row r="20" spans="1:12" ht="1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spans="1:12" ht="60">
      <c r="A21" s="18" t="s">
        <v>500</v>
      </c>
      <c r="B21" s="18" t="s">
        <v>494</v>
      </c>
      <c r="C21" s="18" t="s">
        <v>501</v>
      </c>
      <c r="D21" s="18"/>
      <c r="E21" s="18"/>
      <c r="F21" s="18"/>
      <c r="G21" s="18"/>
      <c r="H21" s="18"/>
      <c r="I21" s="18"/>
      <c r="J21" s="18"/>
      <c r="K21" s="15" t="s">
        <v>502</v>
      </c>
      <c r="L21" s="15"/>
    </row>
    <row r="24" spans="1:12">
      <c r="A24" s="30" t="s">
        <v>503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</row>
    <row r="25" spans="1:12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</row>
    <row r="26" spans="1:12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</row>
  </sheetData>
  <mergeCells count="16">
    <mergeCell ref="A24:L26"/>
    <mergeCell ref="I10:J13"/>
    <mergeCell ref="K10:L13"/>
    <mergeCell ref="A10:B13"/>
    <mergeCell ref="C10:D13"/>
    <mergeCell ref="E10:F13"/>
    <mergeCell ref="G10:H13"/>
    <mergeCell ref="A16:L16"/>
    <mergeCell ref="A1:L1"/>
    <mergeCell ref="A2:L2"/>
    <mergeCell ref="A4:B7"/>
    <mergeCell ref="C4:D7"/>
    <mergeCell ref="E4:F7"/>
    <mergeCell ref="G4:H7"/>
    <mergeCell ref="I4:J7"/>
    <mergeCell ref="K4:L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00"/>
  <sheetViews>
    <sheetView workbookViewId="0"/>
  </sheetViews>
  <sheetFormatPr defaultRowHeight="14.25"/>
  <cols>
    <col min="1" max="1" width="16" customWidth="1"/>
    <col min="2" max="2" width="10" customWidth="1"/>
    <col min="3" max="4" width="14" customWidth="1"/>
    <col min="5" max="5" width="24" customWidth="1"/>
    <col min="6" max="6" width="22" customWidth="1"/>
    <col min="7" max="8" width="20" customWidth="1"/>
    <col min="9" max="9" width="22" customWidth="1"/>
    <col min="10" max="11" width="18" customWidth="1"/>
    <col min="12" max="12" width="23" customWidth="1"/>
    <col min="13" max="13" width="14" customWidth="1"/>
    <col min="14" max="14" width="21" customWidth="1"/>
    <col min="15" max="15" width="16" customWidth="1"/>
    <col min="16" max="16" width="22" customWidth="1"/>
    <col min="17" max="17" width="38" customWidth="1"/>
  </cols>
  <sheetData>
    <row r="1" spans="1:17" ht="30" customHeight="1">
      <c r="A1" s="36" t="s">
        <v>504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1:17" ht="33.950000000000003" customHeight="1">
      <c r="A2" s="37" t="s">
        <v>505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4" spans="1:17" ht="15">
      <c r="A4" s="38" t="s">
        <v>506</v>
      </c>
      <c r="B4" s="38"/>
      <c r="D4" s="38" t="s">
        <v>507</v>
      </c>
      <c r="E4" s="38"/>
      <c r="G4" s="38" t="s">
        <v>508</v>
      </c>
      <c r="H4" s="38"/>
      <c r="J4" s="38" t="s">
        <v>509</v>
      </c>
      <c r="K4" s="38"/>
    </row>
    <row r="5" spans="1:17" ht="18">
      <c r="A5" s="39">
        <f ca="1">COUNTIFS(A9:A200,TODAY(),L9:L200,"&lt;&gt;Carregado",L9:L200,"&lt;&gt;Cancelado")</f>
        <v>1</v>
      </c>
      <c r="B5" s="39"/>
      <c r="D5" s="39">
        <f ca="1">COUNTIFS(A9:A200,"&gt;="&amp;TODAY(),A9:A200,"&lt;="&amp;TODAY()+7,L9:L200,"&lt;&gt;Carregado",L9:L200,"&lt;&gt;Cancelado")</f>
        <v>3</v>
      </c>
      <c r="E5" s="39"/>
      <c r="G5" s="39">
        <f>COUNTIFS(M9:M200,"Não",L9:L200,"&lt;&gt;Carregado",L9:L200,"&lt;&gt;Cancelado")</f>
        <v>2</v>
      </c>
      <c r="H5" s="39"/>
      <c r="J5" s="39">
        <f>COUNTIF(L9:L200,"Reagendado")</f>
        <v>0</v>
      </c>
      <c r="K5" s="39"/>
    </row>
    <row r="8" spans="1:17" ht="30">
      <c r="A8" s="22" t="s">
        <v>510</v>
      </c>
      <c r="B8" s="22" t="s">
        <v>203</v>
      </c>
      <c r="C8" s="22" t="s">
        <v>511</v>
      </c>
      <c r="D8" s="22" t="s">
        <v>303</v>
      </c>
      <c r="E8" s="22" t="s">
        <v>304</v>
      </c>
      <c r="F8" s="22" t="s">
        <v>305</v>
      </c>
      <c r="G8" s="22" t="s">
        <v>307</v>
      </c>
      <c r="H8" s="22" t="s">
        <v>308</v>
      </c>
      <c r="I8" s="22" t="s">
        <v>309</v>
      </c>
      <c r="J8" s="22" t="s">
        <v>159</v>
      </c>
      <c r="K8" s="22" t="s">
        <v>512</v>
      </c>
      <c r="L8" s="22" t="s">
        <v>513</v>
      </c>
      <c r="M8" s="22" t="s">
        <v>514</v>
      </c>
      <c r="N8" s="22" t="s">
        <v>311</v>
      </c>
      <c r="O8" s="22" t="s">
        <v>515</v>
      </c>
      <c r="P8" s="22" t="s">
        <v>516</v>
      </c>
      <c r="Q8" s="22" t="s">
        <v>517</v>
      </c>
    </row>
    <row r="9" spans="1:17" ht="15">
      <c r="A9" s="23">
        <v>46278</v>
      </c>
      <c r="B9" s="2" t="s">
        <v>518</v>
      </c>
      <c r="C9" s="2" t="s">
        <v>519</v>
      </c>
      <c r="D9" s="2" t="s">
        <v>520</v>
      </c>
      <c r="E9" s="2" t="s">
        <v>521</v>
      </c>
      <c r="F9" s="2" t="s">
        <v>316</v>
      </c>
      <c r="G9" s="2" t="s">
        <v>318</v>
      </c>
      <c r="H9" s="2" t="s">
        <v>319</v>
      </c>
      <c r="I9" s="2" t="s">
        <v>320</v>
      </c>
      <c r="J9" s="2" t="s">
        <v>341</v>
      </c>
      <c r="K9" s="2" t="s">
        <v>522</v>
      </c>
      <c r="L9" s="2" t="s">
        <v>523</v>
      </c>
      <c r="M9" s="2" t="s">
        <v>136</v>
      </c>
      <c r="N9" s="24">
        <v>46278.427083333336</v>
      </c>
      <c r="O9" s="25">
        <f t="shared" ref="O9:O40" ca="1" si="0">IF(A9="","",A9-TODAY())</f>
        <v>0</v>
      </c>
      <c r="P9" s="2" t="str">
        <f t="shared" ref="P9:P40" ca="1" si="1">IF(A9="","",IF(OR(L9="Carregado",L9="Cancelado"),"OK",IF(A9&lt;TODAY(),"ATRASADO / PENDENTE",IF(A9=TODAY(),"HOJE",IF(A9=TODAY()+1,"AMANHÃ",IF(A9&lt;=TODAY()+3,"PRÓXIMO",""))))))</f>
        <v>HOJE</v>
      </c>
      <c r="Q9" s="2" t="s">
        <v>524</v>
      </c>
    </row>
    <row r="10" spans="1:17" ht="15">
      <c r="A10" s="23">
        <v>46279</v>
      </c>
      <c r="B10" s="2" t="s">
        <v>525</v>
      </c>
      <c r="C10" s="2" t="s">
        <v>526</v>
      </c>
      <c r="D10" s="2" t="s">
        <v>527</v>
      </c>
      <c r="E10" s="2" t="s">
        <v>528</v>
      </c>
      <c r="F10" s="2" t="s">
        <v>326</v>
      </c>
      <c r="G10" s="2" t="s">
        <v>328</v>
      </c>
      <c r="H10" s="2" t="s">
        <v>329</v>
      </c>
      <c r="I10" s="2" t="s">
        <v>330</v>
      </c>
      <c r="J10" s="2" t="s">
        <v>331</v>
      </c>
      <c r="K10" s="2" t="s">
        <v>522</v>
      </c>
      <c r="L10" s="2" t="s">
        <v>529</v>
      </c>
      <c r="M10" s="2" t="s">
        <v>136</v>
      </c>
      <c r="N10" s="24">
        <v>46278.4375</v>
      </c>
      <c r="O10" s="25">
        <f t="shared" ca="1" si="0"/>
        <v>1</v>
      </c>
      <c r="P10" s="2" t="str">
        <f t="shared" ca="1" si="1"/>
        <v>AMANHÃ</v>
      </c>
      <c r="Q10" s="2"/>
    </row>
    <row r="11" spans="1:17" ht="15">
      <c r="A11" s="23">
        <v>46280</v>
      </c>
      <c r="B11" s="2" t="s">
        <v>530</v>
      </c>
      <c r="C11" s="2" t="s">
        <v>531</v>
      </c>
      <c r="D11" s="2" t="s">
        <v>532</v>
      </c>
      <c r="E11" s="2" t="s">
        <v>533</v>
      </c>
      <c r="F11" s="2" t="s">
        <v>337</v>
      </c>
      <c r="G11" s="2" t="s">
        <v>338</v>
      </c>
      <c r="H11" s="2" t="s">
        <v>339</v>
      </c>
      <c r="I11" s="2" t="s">
        <v>340</v>
      </c>
      <c r="J11" s="2" t="s">
        <v>341</v>
      </c>
      <c r="K11" s="2" t="s">
        <v>522</v>
      </c>
      <c r="L11" s="2" t="s">
        <v>534</v>
      </c>
      <c r="M11" s="2" t="s">
        <v>117</v>
      </c>
      <c r="N11" s="24">
        <v>46278.458333333336</v>
      </c>
      <c r="O11" s="25">
        <f t="shared" ca="1" si="0"/>
        <v>2</v>
      </c>
      <c r="P11" s="2" t="str">
        <f t="shared" ca="1" si="1"/>
        <v>PRÓXIMO</v>
      </c>
      <c r="Q11" s="2"/>
    </row>
    <row r="12" spans="1:17">
      <c r="A12" s="2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4"/>
      <c r="O12" s="25" t="str">
        <f t="shared" ca="1" si="0"/>
        <v/>
      </c>
      <c r="P12" s="2" t="str">
        <f t="shared" ca="1" si="1"/>
        <v/>
      </c>
      <c r="Q12" s="2"/>
    </row>
    <row r="13" spans="1:17">
      <c r="A13" s="2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4"/>
      <c r="O13" s="25" t="str">
        <f t="shared" ca="1" si="0"/>
        <v/>
      </c>
      <c r="P13" s="2" t="str">
        <f t="shared" ca="1" si="1"/>
        <v/>
      </c>
      <c r="Q13" s="2"/>
    </row>
    <row r="14" spans="1:17">
      <c r="A14" s="2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4"/>
      <c r="O14" s="25" t="str">
        <f t="shared" ca="1" si="0"/>
        <v/>
      </c>
      <c r="P14" s="2" t="str">
        <f t="shared" ca="1" si="1"/>
        <v/>
      </c>
      <c r="Q14" s="2"/>
    </row>
    <row r="15" spans="1:17">
      <c r="A15" s="2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4"/>
      <c r="O15" s="25" t="str">
        <f t="shared" ca="1" si="0"/>
        <v/>
      </c>
      <c r="P15" s="2" t="str">
        <f t="shared" ca="1" si="1"/>
        <v/>
      </c>
      <c r="Q15" s="2"/>
    </row>
    <row r="16" spans="1:17">
      <c r="A16" s="2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4"/>
      <c r="O16" s="25" t="str">
        <f t="shared" ca="1" si="0"/>
        <v/>
      </c>
      <c r="P16" s="2" t="str">
        <f t="shared" ca="1" si="1"/>
        <v/>
      </c>
      <c r="Q16" s="2"/>
    </row>
    <row r="17" spans="1:17">
      <c r="A17" s="2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4"/>
      <c r="O17" s="25" t="str">
        <f t="shared" ca="1" si="0"/>
        <v/>
      </c>
      <c r="P17" s="2" t="str">
        <f t="shared" ca="1" si="1"/>
        <v/>
      </c>
      <c r="Q17" s="2"/>
    </row>
    <row r="18" spans="1:17">
      <c r="A18" s="2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4"/>
      <c r="O18" s="25" t="str">
        <f t="shared" ca="1" si="0"/>
        <v/>
      </c>
      <c r="P18" s="2" t="str">
        <f t="shared" ca="1" si="1"/>
        <v/>
      </c>
      <c r="Q18" s="2"/>
    </row>
    <row r="19" spans="1:17">
      <c r="A19" s="2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4"/>
      <c r="O19" s="25" t="str">
        <f t="shared" ca="1" si="0"/>
        <v/>
      </c>
      <c r="P19" s="2" t="str">
        <f t="shared" ca="1" si="1"/>
        <v/>
      </c>
      <c r="Q19" s="2"/>
    </row>
    <row r="20" spans="1:17">
      <c r="A20" s="2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4"/>
      <c r="O20" s="25" t="str">
        <f t="shared" ca="1" si="0"/>
        <v/>
      </c>
      <c r="P20" s="2" t="str">
        <f t="shared" ca="1" si="1"/>
        <v/>
      </c>
      <c r="Q20" s="2"/>
    </row>
    <row r="21" spans="1:17">
      <c r="A21" s="2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4"/>
      <c r="O21" s="25" t="str">
        <f t="shared" ca="1" si="0"/>
        <v/>
      </c>
      <c r="P21" s="2" t="str">
        <f t="shared" ca="1" si="1"/>
        <v/>
      </c>
      <c r="Q21" s="2"/>
    </row>
    <row r="22" spans="1:17">
      <c r="A22" s="2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4"/>
      <c r="O22" s="25" t="str">
        <f t="shared" ca="1" si="0"/>
        <v/>
      </c>
      <c r="P22" s="2" t="str">
        <f t="shared" ca="1" si="1"/>
        <v/>
      </c>
      <c r="Q22" s="2"/>
    </row>
    <row r="23" spans="1:17">
      <c r="A23" s="2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4"/>
      <c r="O23" s="25" t="str">
        <f t="shared" ca="1" si="0"/>
        <v/>
      </c>
      <c r="P23" s="2" t="str">
        <f t="shared" ca="1" si="1"/>
        <v/>
      </c>
      <c r="Q23" s="2"/>
    </row>
    <row r="24" spans="1:17">
      <c r="A24" s="2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4"/>
      <c r="O24" s="25" t="str">
        <f t="shared" ca="1" si="0"/>
        <v/>
      </c>
      <c r="P24" s="2" t="str">
        <f t="shared" ca="1" si="1"/>
        <v/>
      </c>
      <c r="Q24" s="2"/>
    </row>
    <row r="25" spans="1:17">
      <c r="A25" s="2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4"/>
      <c r="O25" s="25" t="str">
        <f t="shared" ca="1" si="0"/>
        <v/>
      </c>
      <c r="P25" s="2" t="str">
        <f t="shared" ca="1" si="1"/>
        <v/>
      </c>
      <c r="Q25" s="2"/>
    </row>
    <row r="26" spans="1:17">
      <c r="A26" s="2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4"/>
      <c r="O26" s="25" t="str">
        <f t="shared" ca="1" si="0"/>
        <v/>
      </c>
      <c r="P26" s="2" t="str">
        <f t="shared" ca="1" si="1"/>
        <v/>
      </c>
      <c r="Q26" s="2"/>
    </row>
    <row r="27" spans="1:17">
      <c r="A27" s="2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4"/>
      <c r="O27" s="25" t="str">
        <f t="shared" ca="1" si="0"/>
        <v/>
      </c>
      <c r="P27" s="2" t="str">
        <f t="shared" ca="1" si="1"/>
        <v/>
      </c>
      <c r="Q27" s="2"/>
    </row>
    <row r="28" spans="1:17">
      <c r="A28" s="2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4"/>
      <c r="O28" s="25" t="str">
        <f t="shared" ca="1" si="0"/>
        <v/>
      </c>
      <c r="P28" s="2" t="str">
        <f t="shared" ca="1" si="1"/>
        <v/>
      </c>
      <c r="Q28" s="2"/>
    </row>
    <row r="29" spans="1:17">
      <c r="A29" s="2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4"/>
      <c r="O29" s="25" t="str">
        <f t="shared" ca="1" si="0"/>
        <v/>
      </c>
      <c r="P29" s="2" t="str">
        <f t="shared" ca="1" si="1"/>
        <v/>
      </c>
      <c r="Q29" s="2"/>
    </row>
    <row r="30" spans="1:17">
      <c r="A30" s="2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4"/>
      <c r="O30" s="25" t="str">
        <f t="shared" ca="1" si="0"/>
        <v/>
      </c>
      <c r="P30" s="2" t="str">
        <f t="shared" ca="1" si="1"/>
        <v/>
      </c>
      <c r="Q30" s="2"/>
    </row>
    <row r="31" spans="1:17">
      <c r="A31" s="2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4"/>
      <c r="O31" s="25" t="str">
        <f t="shared" ca="1" si="0"/>
        <v/>
      </c>
      <c r="P31" s="2" t="str">
        <f t="shared" ca="1" si="1"/>
        <v/>
      </c>
      <c r="Q31" s="2"/>
    </row>
    <row r="32" spans="1:17">
      <c r="A32" s="2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4"/>
      <c r="O32" s="25" t="str">
        <f t="shared" ca="1" si="0"/>
        <v/>
      </c>
      <c r="P32" s="2" t="str">
        <f t="shared" ca="1" si="1"/>
        <v/>
      </c>
      <c r="Q32" s="2"/>
    </row>
    <row r="33" spans="1:17">
      <c r="A33" s="2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4"/>
      <c r="O33" s="25" t="str">
        <f t="shared" ca="1" si="0"/>
        <v/>
      </c>
      <c r="P33" s="2" t="str">
        <f t="shared" ca="1" si="1"/>
        <v/>
      </c>
      <c r="Q33" s="2"/>
    </row>
    <row r="34" spans="1:17">
      <c r="A34" s="2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4"/>
      <c r="O34" s="25" t="str">
        <f t="shared" ca="1" si="0"/>
        <v/>
      </c>
      <c r="P34" s="2" t="str">
        <f t="shared" ca="1" si="1"/>
        <v/>
      </c>
      <c r="Q34" s="2"/>
    </row>
    <row r="35" spans="1:17">
      <c r="A35" s="2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4"/>
      <c r="O35" s="25" t="str">
        <f t="shared" ca="1" si="0"/>
        <v/>
      </c>
      <c r="P35" s="2" t="str">
        <f t="shared" ca="1" si="1"/>
        <v/>
      </c>
      <c r="Q35" s="2"/>
    </row>
    <row r="36" spans="1:17">
      <c r="A36" s="2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4"/>
      <c r="O36" s="25" t="str">
        <f t="shared" ca="1" si="0"/>
        <v/>
      </c>
      <c r="P36" s="2" t="str">
        <f t="shared" ca="1" si="1"/>
        <v/>
      </c>
      <c r="Q36" s="2"/>
    </row>
    <row r="37" spans="1:17">
      <c r="A37" s="2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4"/>
      <c r="O37" s="25" t="str">
        <f t="shared" ca="1" si="0"/>
        <v/>
      </c>
      <c r="P37" s="2" t="str">
        <f t="shared" ca="1" si="1"/>
        <v/>
      </c>
      <c r="Q37" s="2"/>
    </row>
    <row r="38" spans="1:17">
      <c r="A38" s="2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4"/>
      <c r="O38" s="25" t="str">
        <f t="shared" ca="1" si="0"/>
        <v/>
      </c>
      <c r="P38" s="2" t="str">
        <f t="shared" ca="1" si="1"/>
        <v/>
      </c>
      <c r="Q38" s="2"/>
    </row>
    <row r="39" spans="1:17">
      <c r="A39" s="2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4"/>
      <c r="O39" s="25" t="str">
        <f t="shared" ca="1" si="0"/>
        <v/>
      </c>
      <c r="P39" s="2" t="str">
        <f t="shared" ca="1" si="1"/>
        <v/>
      </c>
      <c r="Q39" s="2"/>
    </row>
    <row r="40" spans="1:17">
      <c r="A40" s="2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4"/>
      <c r="O40" s="25" t="str">
        <f t="shared" ca="1" si="0"/>
        <v/>
      </c>
      <c r="P40" s="2" t="str">
        <f t="shared" ca="1" si="1"/>
        <v/>
      </c>
      <c r="Q40" s="2"/>
    </row>
    <row r="41" spans="1:17">
      <c r="A41" s="2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4"/>
      <c r="O41" s="25" t="str">
        <f t="shared" ref="O41:O72" ca="1" si="2">IF(A41="","",A41-TODAY())</f>
        <v/>
      </c>
      <c r="P41" s="2" t="str">
        <f t="shared" ref="P41:P72" ca="1" si="3">IF(A41="","",IF(OR(L41="Carregado",L41="Cancelado"),"OK",IF(A41&lt;TODAY(),"ATRASADO / PENDENTE",IF(A41=TODAY(),"HOJE",IF(A41=TODAY()+1,"AMANHÃ",IF(A41&lt;=TODAY()+3,"PRÓXIMO",""))))))</f>
        <v/>
      </c>
      <c r="Q41" s="2"/>
    </row>
    <row r="42" spans="1:17">
      <c r="A42" s="2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4"/>
      <c r="O42" s="25" t="str">
        <f t="shared" ca="1" si="2"/>
        <v/>
      </c>
      <c r="P42" s="2" t="str">
        <f t="shared" ca="1" si="3"/>
        <v/>
      </c>
      <c r="Q42" s="2"/>
    </row>
    <row r="43" spans="1:17">
      <c r="A43" s="2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4"/>
      <c r="O43" s="25" t="str">
        <f t="shared" ca="1" si="2"/>
        <v/>
      </c>
      <c r="P43" s="2" t="str">
        <f t="shared" ca="1" si="3"/>
        <v/>
      </c>
      <c r="Q43" s="2"/>
    </row>
    <row r="44" spans="1:17">
      <c r="A44" s="2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4"/>
      <c r="O44" s="25" t="str">
        <f t="shared" ca="1" si="2"/>
        <v/>
      </c>
      <c r="P44" s="2" t="str">
        <f t="shared" ca="1" si="3"/>
        <v/>
      </c>
      <c r="Q44" s="2"/>
    </row>
    <row r="45" spans="1:17">
      <c r="A45" s="2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4"/>
      <c r="O45" s="25" t="str">
        <f t="shared" ca="1" si="2"/>
        <v/>
      </c>
      <c r="P45" s="2" t="str">
        <f t="shared" ca="1" si="3"/>
        <v/>
      </c>
      <c r="Q45" s="2"/>
    </row>
    <row r="46" spans="1:17">
      <c r="A46" s="2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4"/>
      <c r="O46" s="25" t="str">
        <f t="shared" ca="1" si="2"/>
        <v/>
      </c>
      <c r="P46" s="2" t="str">
        <f t="shared" ca="1" si="3"/>
        <v/>
      </c>
      <c r="Q46" s="2"/>
    </row>
    <row r="47" spans="1:17">
      <c r="A47" s="2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4"/>
      <c r="O47" s="25" t="str">
        <f t="shared" ca="1" si="2"/>
        <v/>
      </c>
      <c r="P47" s="2" t="str">
        <f t="shared" ca="1" si="3"/>
        <v/>
      </c>
      <c r="Q47" s="2"/>
    </row>
    <row r="48" spans="1:17">
      <c r="A48" s="2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4"/>
      <c r="O48" s="25" t="str">
        <f t="shared" ca="1" si="2"/>
        <v/>
      </c>
      <c r="P48" s="2" t="str">
        <f t="shared" ca="1" si="3"/>
        <v/>
      </c>
      <c r="Q48" s="2"/>
    </row>
    <row r="49" spans="1:17">
      <c r="A49" s="2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4"/>
      <c r="O49" s="25" t="str">
        <f t="shared" ca="1" si="2"/>
        <v/>
      </c>
      <c r="P49" s="2" t="str">
        <f t="shared" ca="1" si="3"/>
        <v/>
      </c>
      <c r="Q49" s="2"/>
    </row>
    <row r="50" spans="1:17">
      <c r="A50" s="2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4"/>
      <c r="O50" s="25" t="str">
        <f t="shared" ca="1" si="2"/>
        <v/>
      </c>
      <c r="P50" s="2" t="str">
        <f t="shared" ca="1" si="3"/>
        <v/>
      </c>
      <c r="Q50" s="2"/>
    </row>
    <row r="51" spans="1:17">
      <c r="A51" s="2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4"/>
      <c r="O51" s="25" t="str">
        <f t="shared" ca="1" si="2"/>
        <v/>
      </c>
      <c r="P51" s="2" t="str">
        <f t="shared" ca="1" si="3"/>
        <v/>
      </c>
      <c r="Q51" s="2"/>
    </row>
    <row r="52" spans="1:17">
      <c r="A52" s="2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4"/>
      <c r="O52" s="25" t="str">
        <f t="shared" ca="1" si="2"/>
        <v/>
      </c>
      <c r="P52" s="2" t="str">
        <f t="shared" ca="1" si="3"/>
        <v/>
      </c>
      <c r="Q52" s="2"/>
    </row>
    <row r="53" spans="1:17">
      <c r="A53" s="2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4"/>
      <c r="O53" s="25" t="str">
        <f t="shared" ca="1" si="2"/>
        <v/>
      </c>
      <c r="P53" s="2" t="str">
        <f t="shared" ca="1" si="3"/>
        <v/>
      </c>
      <c r="Q53" s="2"/>
    </row>
    <row r="54" spans="1:17">
      <c r="A54" s="2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4"/>
      <c r="O54" s="25" t="str">
        <f t="shared" ca="1" si="2"/>
        <v/>
      </c>
      <c r="P54" s="2" t="str">
        <f t="shared" ca="1" si="3"/>
        <v/>
      </c>
      <c r="Q54" s="2"/>
    </row>
    <row r="55" spans="1:17">
      <c r="A55" s="2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4"/>
      <c r="O55" s="25" t="str">
        <f t="shared" ca="1" si="2"/>
        <v/>
      </c>
      <c r="P55" s="2" t="str">
        <f t="shared" ca="1" si="3"/>
        <v/>
      </c>
      <c r="Q55" s="2"/>
    </row>
    <row r="56" spans="1:17">
      <c r="A56" s="2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4"/>
      <c r="O56" s="25" t="str">
        <f t="shared" ca="1" si="2"/>
        <v/>
      </c>
      <c r="P56" s="2" t="str">
        <f t="shared" ca="1" si="3"/>
        <v/>
      </c>
      <c r="Q56" s="2"/>
    </row>
    <row r="57" spans="1:17">
      <c r="A57" s="2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4"/>
      <c r="O57" s="25" t="str">
        <f t="shared" ca="1" si="2"/>
        <v/>
      </c>
      <c r="P57" s="2" t="str">
        <f t="shared" ca="1" si="3"/>
        <v/>
      </c>
      <c r="Q57" s="2"/>
    </row>
    <row r="58" spans="1:17">
      <c r="A58" s="2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4"/>
      <c r="O58" s="25" t="str">
        <f t="shared" ca="1" si="2"/>
        <v/>
      </c>
      <c r="P58" s="2" t="str">
        <f t="shared" ca="1" si="3"/>
        <v/>
      </c>
      <c r="Q58" s="2"/>
    </row>
    <row r="59" spans="1:17">
      <c r="A59" s="2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4"/>
      <c r="O59" s="25" t="str">
        <f t="shared" ca="1" si="2"/>
        <v/>
      </c>
      <c r="P59" s="2" t="str">
        <f t="shared" ca="1" si="3"/>
        <v/>
      </c>
      <c r="Q59" s="2"/>
    </row>
    <row r="60" spans="1:17">
      <c r="A60" s="2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4"/>
      <c r="O60" s="25" t="str">
        <f t="shared" ca="1" si="2"/>
        <v/>
      </c>
      <c r="P60" s="2" t="str">
        <f t="shared" ca="1" si="3"/>
        <v/>
      </c>
      <c r="Q60" s="2"/>
    </row>
    <row r="61" spans="1:17">
      <c r="A61" s="2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4"/>
      <c r="O61" s="25" t="str">
        <f t="shared" ca="1" si="2"/>
        <v/>
      </c>
      <c r="P61" s="2" t="str">
        <f t="shared" ca="1" si="3"/>
        <v/>
      </c>
      <c r="Q61" s="2"/>
    </row>
    <row r="62" spans="1:17">
      <c r="A62" s="2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4"/>
      <c r="O62" s="25" t="str">
        <f t="shared" ca="1" si="2"/>
        <v/>
      </c>
      <c r="P62" s="2" t="str">
        <f t="shared" ca="1" si="3"/>
        <v/>
      </c>
      <c r="Q62" s="2"/>
    </row>
    <row r="63" spans="1:17">
      <c r="A63" s="2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4"/>
      <c r="O63" s="25" t="str">
        <f t="shared" ca="1" si="2"/>
        <v/>
      </c>
      <c r="P63" s="2" t="str">
        <f t="shared" ca="1" si="3"/>
        <v/>
      </c>
      <c r="Q63" s="2"/>
    </row>
    <row r="64" spans="1:17">
      <c r="A64" s="2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4"/>
      <c r="O64" s="25" t="str">
        <f t="shared" ca="1" si="2"/>
        <v/>
      </c>
      <c r="P64" s="2" t="str">
        <f t="shared" ca="1" si="3"/>
        <v/>
      </c>
      <c r="Q64" s="2"/>
    </row>
    <row r="65" spans="1:17">
      <c r="A65" s="2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4"/>
      <c r="O65" s="25" t="str">
        <f t="shared" ca="1" si="2"/>
        <v/>
      </c>
      <c r="P65" s="2" t="str">
        <f t="shared" ca="1" si="3"/>
        <v/>
      </c>
      <c r="Q65" s="2"/>
    </row>
    <row r="66" spans="1:17">
      <c r="A66" s="2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4"/>
      <c r="O66" s="25" t="str">
        <f t="shared" ca="1" si="2"/>
        <v/>
      </c>
      <c r="P66" s="2" t="str">
        <f t="shared" ca="1" si="3"/>
        <v/>
      </c>
      <c r="Q66" s="2"/>
    </row>
    <row r="67" spans="1:17">
      <c r="A67" s="2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4"/>
      <c r="O67" s="25" t="str">
        <f t="shared" ca="1" si="2"/>
        <v/>
      </c>
      <c r="P67" s="2" t="str">
        <f t="shared" ca="1" si="3"/>
        <v/>
      </c>
      <c r="Q67" s="2"/>
    </row>
    <row r="68" spans="1:17">
      <c r="A68" s="2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4"/>
      <c r="O68" s="25" t="str">
        <f t="shared" ca="1" si="2"/>
        <v/>
      </c>
      <c r="P68" s="2" t="str">
        <f t="shared" ca="1" si="3"/>
        <v/>
      </c>
      <c r="Q68" s="2"/>
    </row>
    <row r="69" spans="1:17">
      <c r="A69" s="2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4"/>
      <c r="O69" s="25" t="str">
        <f t="shared" ca="1" si="2"/>
        <v/>
      </c>
      <c r="P69" s="2" t="str">
        <f t="shared" ca="1" si="3"/>
        <v/>
      </c>
      <c r="Q69" s="2"/>
    </row>
    <row r="70" spans="1:17">
      <c r="A70" s="2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4"/>
      <c r="O70" s="25" t="str">
        <f t="shared" ca="1" si="2"/>
        <v/>
      </c>
      <c r="P70" s="2" t="str">
        <f t="shared" ca="1" si="3"/>
        <v/>
      </c>
      <c r="Q70" s="2"/>
    </row>
    <row r="71" spans="1:17">
      <c r="A71" s="2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4"/>
      <c r="O71" s="25" t="str">
        <f t="shared" ca="1" si="2"/>
        <v/>
      </c>
      <c r="P71" s="2" t="str">
        <f t="shared" ca="1" si="3"/>
        <v/>
      </c>
      <c r="Q71" s="2"/>
    </row>
    <row r="72" spans="1:17">
      <c r="A72" s="2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4"/>
      <c r="O72" s="25" t="str">
        <f t="shared" ca="1" si="2"/>
        <v/>
      </c>
      <c r="P72" s="2" t="str">
        <f t="shared" ca="1" si="3"/>
        <v/>
      </c>
      <c r="Q72" s="2"/>
    </row>
    <row r="73" spans="1:17">
      <c r="A73" s="2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4"/>
      <c r="O73" s="25" t="str">
        <f t="shared" ref="O73:O104" ca="1" si="4">IF(A73="","",A73-TODAY())</f>
        <v/>
      </c>
      <c r="P73" s="2" t="str">
        <f t="shared" ref="P73:P104" ca="1" si="5">IF(A73="","",IF(OR(L73="Carregado",L73="Cancelado"),"OK",IF(A73&lt;TODAY(),"ATRASADO / PENDENTE",IF(A73=TODAY(),"HOJE",IF(A73=TODAY()+1,"AMANHÃ",IF(A73&lt;=TODAY()+3,"PRÓXIMO",""))))))</f>
        <v/>
      </c>
      <c r="Q73" s="2"/>
    </row>
    <row r="74" spans="1:17">
      <c r="A74" s="2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4"/>
      <c r="O74" s="25" t="str">
        <f t="shared" ca="1" si="4"/>
        <v/>
      </c>
      <c r="P74" s="2" t="str">
        <f t="shared" ca="1" si="5"/>
        <v/>
      </c>
      <c r="Q74" s="2"/>
    </row>
    <row r="75" spans="1:17">
      <c r="A75" s="2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4"/>
      <c r="O75" s="25" t="str">
        <f t="shared" ca="1" si="4"/>
        <v/>
      </c>
      <c r="P75" s="2" t="str">
        <f t="shared" ca="1" si="5"/>
        <v/>
      </c>
      <c r="Q75" s="2"/>
    </row>
    <row r="76" spans="1:17">
      <c r="A76" s="2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4"/>
      <c r="O76" s="25" t="str">
        <f t="shared" ca="1" si="4"/>
        <v/>
      </c>
      <c r="P76" s="2" t="str">
        <f t="shared" ca="1" si="5"/>
        <v/>
      </c>
      <c r="Q76" s="2"/>
    </row>
    <row r="77" spans="1:17">
      <c r="A77" s="2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4"/>
      <c r="O77" s="25" t="str">
        <f t="shared" ca="1" si="4"/>
        <v/>
      </c>
      <c r="P77" s="2" t="str">
        <f t="shared" ca="1" si="5"/>
        <v/>
      </c>
      <c r="Q77" s="2"/>
    </row>
    <row r="78" spans="1:17">
      <c r="A78" s="2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4"/>
      <c r="O78" s="25" t="str">
        <f t="shared" ca="1" si="4"/>
        <v/>
      </c>
      <c r="P78" s="2" t="str">
        <f t="shared" ca="1" si="5"/>
        <v/>
      </c>
      <c r="Q78" s="2"/>
    </row>
    <row r="79" spans="1:17">
      <c r="A79" s="2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4"/>
      <c r="O79" s="25" t="str">
        <f t="shared" ca="1" si="4"/>
        <v/>
      </c>
      <c r="P79" s="2" t="str">
        <f t="shared" ca="1" si="5"/>
        <v/>
      </c>
      <c r="Q79" s="2"/>
    </row>
    <row r="80" spans="1:17">
      <c r="A80" s="2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4"/>
      <c r="O80" s="25" t="str">
        <f t="shared" ca="1" si="4"/>
        <v/>
      </c>
      <c r="P80" s="2" t="str">
        <f t="shared" ca="1" si="5"/>
        <v/>
      </c>
      <c r="Q80" s="2"/>
    </row>
    <row r="81" spans="1:17">
      <c r="A81" s="2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4"/>
      <c r="O81" s="25" t="str">
        <f t="shared" ca="1" si="4"/>
        <v/>
      </c>
      <c r="P81" s="2" t="str">
        <f t="shared" ca="1" si="5"/>
        <v/>
      </c>
      <c r="Q81" s="2"/>
    </row>
    <row r="82" spans="1:17">
      <c r="A82" s="2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4"/>
      <c r="O82" s="25" t="str">
        <f t="shared" ca="1" si="4"/>
        <v/>
      </c>
      <c r="P82" s="2" t="str">
        <f t="shared" ca="1" si="5"/>
        <v/>
      </c>
      <c r="Q82" s="2"/>
    </row>
    <row r="83" spans="1:17">
      <c r="A83" s="2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4"/>
      <c r="O83" s="25" t="str">
        <f t="shared" ca="1" si="4"/>
        <v/>
      </c>
      <c r="P83" s="2" t="str">
        <f t="shared" ca="1" si="5"/>
        <v/>
      </c>
      <c r="Q83" s="2"/>
    </row>
    <row r="84" spans="1:17">
      <c r="A84" s="2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4"/>
      <c r="O84" s="25" t="str">
        <f t="shared" ca="1" si="4"/>
        <v/>
      </c>
      <c r="P84" s="2" t="str">
        <f t="shared" ca="1" si="5"/>
        <v/>
      </c>
      <c r="Q84" s="2"/>
    </row>
    <row r="85" spans="1:17">
      <c r="A85" s="2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4"/>
      <c r="O85" s="25" t="str">
        <f t="shared" ca="1" si="4"/>
        <v/>
      </c>
      <c r="P85" s="2" t="str">
        <f t="shared" ca="1" si="5"/>
        <v/>
      </c>
      <c r="Q85" s="2"/>
    </row>
    <row r="86" spans="1:17">
      <c r="A86" s="2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4"/>
      <c r="O86" s="25" t="str">
        <f t="shared" ca="1" si="4"/>
        <v/>
      </c>
      <c r="P86" s="2" t="str">
        <f t="shared" ca="1" si="5"/>
        <v/>
      </c>
      <c r="Q86" s="2"/>
    </row>
    <row r="87" spans="1:17">
      <c r="A87" s="2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4"/>
      <c r="O87" s="25" t="str">
        <f t="shared" ca="1" si="4"/>
        <v/>
      </c>
      <c r="P87" s="2" t="str">
        <f t="shared" ca="1" si="5"/>
        <v/>
      </c>
      <c r="Q87" s="2"/>
    </row>
    <row r="88" spans="1:17">
      <c r="A88" s="2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4"/>
      <c r="O88" s="25" t="str">
        <f t="shared" ca="1" si="4"/>
        <v/>
      </c>
      <c r="P88" s="2" t="str">
        <f t="shared" ca="1" si="5"/>
        <v/>
      </c>
      <c r="Q88" s="2"/>
    </row>
    <row r="89" spans="1:17">
      <c r="A89" s="2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4"/>
      <c r="O89" s="25" t="str">
        <f t="shared" ca="1" si="4"/>
        <v/>
      </c>
      <c r="P89" s="2" t="str">
        <f t="shared" ca="1" si="5"/>
        <v/>
      </c>
      <c r="Q89" s="2"/>
    </row>
    <row r="90" spans="1:17">
      <c r="A90" s="2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4"/>
      <c r="O90" s="25" t="str">
        <f t="shared" ca="1" si="4"/>
        <v/>
      </c>
      <c r="P90" s="2" t="str">
        <f t="shared" ca="1" si="5"/>
        <v/>
      </c>
      <c r="Q90" s="2"/>
    </row>
    <row r="91" spans="1:17">
      <c r="A91" s="2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4"/>
      <c r="O91" s="25" t="str">
        <f t="shared" ca="1" si="4"/>
        <v/>
      </c>
      <c r="P91" s="2" t="str">
        <f t="shared" ca="1" si="5"/>
        <v/>
      </c>
      <c r="Q91" s="2"/>
    </row>
    <row r="92" spans="1:17">
      <c r="A92" s="2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4"/>
      <c r="O92" s="25" t="str">
        <f t="shared" ca="1" si="4"/>
        <v/>
      </c>
      <c r="P92" s="2" t="str">
        <f t="shared" ca="1" si="5"/>
        <v/>
      </c>
      <c r="Q92" s="2"/>
    </row>
    <row r="93" spans="1:17">
      <c r="A93" s="2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4"/>
      <c r="O93" s="25" t="str">
        <f t="shared" ca="1" si="4"/>
        <v/>
      </c>
      <c r="P93" s="2" t="str">
        <f t="shared" ca="1" si="5"/>
        <v/>
      </c>
      <c r="Q93" s="2"/>
    </row>
    <row r="94" spans="1:17">
      <c r="A94" s="2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4"/>
      <c r="O94" s="25" t="str">
        <f t="shared" ca="1" si="4"/>
        <v/>
      </c>
      <c r="P94" s="2" t="str">
        <f t="shared" ca="1" si="5"/>
        <v/>
      </c>
      <c r="Q94" s="2"/>
    </row>
    <row r="95" spans="1:17">
      <c r="A95" s="2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4"/>
      <c r="O95" s="25" t="str">
        <f t="shared" ca="1" si="4"/>
        <v/>
      </c>
      <c r="P95" s="2" t="str">
        <f t="shared" ca="1" si="5"/>
        <v/>
      </c>
      <c r="Q95" s="2"/>
    </row>
    <row r="96" spans="1:17">
      <c r="A96" s="2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4"/>
      <c r="O96" s="25" t="str">
        <f t="shared" ca="1" si="4"/>
        <v/>
      </c>
      <c r="P96" s="2" t="str">
        <f t="shared" ca="1" si="5"/>
        <v/>
      </c>
      <c r="Q96" s="2"/>
    </row>
    <row r="97" spans="1:17">
      <c r="A97" s="2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4"/>
      <c r="O97" s="25" t="str">
        <f t="shared" ca="1" si="4"/>
        <v/>
      </c>
      <c r="P97" s="2" t="str">
        <f t="shared" ca="1" si="5"/>
        <v/>
      </c>
      <c r="Q97" s="2"/>
    </row>
    <row r="98" spans="1:17">
      <c r="A98" s="2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4"/>
      <c r="O98" s="25" t="str">
        <f t="shared" ca="1" si="4"/>
        <v/>
      </c>
      <c r="P98" s="2" t="str">
        <f t="shared" ca="1" si="5"/>
        <v/>
      </c>
      <c r="Q98" s="2"/>
    </row>
    <row r="99" spans="1:17">
      <c r="A99" s="2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4"/>
      <c r="O99" s="25" t="str">
        <f t="shared" ca="1" si="4"/>
        <v/>
      </c>
      <c r="P99" s="2" t="str">
        <f t="shared" ca="1" si="5"/>
        <v/>
      </c>
      <c r="Q99" s="2"/>
    </row>
    <row r="100" spans="1:17">
      <c r="A100" s="2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4"/>
      <c r="O100" s="25" t="str">
        <f t="shared" ca="1" si="4"/>
        <v/>
      </c>
      <c r="P100" s="2" t="str">
        <f t="shared" ca="1" si="5"/>
        <v/>
      </c>
      <c r="Q100" s="2"/>
    </row>
    <row r="101" spans="1:17">
      <c r="A101" s="2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4"/>
      <c r="O101" s="25" t="str">
        <f t="shared" ca="1" si="4"/>
        <v/>
      </c>
      <c r="P101" s="2" t="str">
        <f t="shared" ca="1" si="5"/>
        <v/>
      </c>
      <c r="Q101" s="2"/>
    </row>
    <row r="102" spans="1:17">
      <c r="A102" s="2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4"/>
      <c r="O102" s="25" t="str">
        <f t="shared" ca="1" si="4"/>
        <v/>
      </c>
      <c r="P102" s="2" t="str">
        <f t="shared" ca="1" si="5"/>
        <v/>
      </c>
      <c r="Q102" s="2"/>
    </row>
    <row r="103" spans="1:17">
      <c r="A103" s="2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4"/>
      <c r="O103" s="25" t="str">
        <f t="shared" ca="1" si="4"/>
        <v/>
      </c>
      <c r="P103" s="2" t="str">
        <f t="shared" ca="1" si="5"/>
        <v/>
      </c>
      <c r="Q103" s="2"/>
    </row>
    <row r="104" spans="1:17">
      <c r="A104" s="2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4"/>
      <c r="O104" s="25" t="str">
        <f t="shared" ca="1" si="4"/>
        <v/>
      </c>
      <c r="P104" s="2" t="str">
        <f t="shared" ca="1" si="5"/>
        <v/>
      </c>
      <c r="Q104" s="2"/>
    </row>
    <row r="105" spans="1:17">
      <c r="A105" s="2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4"/>
      <c r="O105" s="25" t="str">
        <f t="shared" ref="O105:O136" ca="1" si="6">IF(A105="","",A105-TODAY())</f>
        <v/>
      </c>
      <c r="P105" s="2" t="str">
        <f t="shared" ref="P105:P136" ca="1" si="7">IF(A105="","",IF(OR(L105="Carregado",L105="Cancelado"),"OK",IF(A105&lt;TODAY(),"ATRASADO / PENDENTE",IF(A105=TODAY(),"HOJE",IF(A105=TODAY()+1,"AMANHÃ",IF(A105&lt;=TODAY()+3,"PRÓXIMO",""))))))</f>
        <v/>
      </c>
      <c r="Q105" s="2"/>
    </row>
    <row r="106" spans="1:17">
      <c r="A106" s="2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4"/>
      <c r="O106" s="25" t="str">
        <f t="shared" ca="1" si="6"/>
        <v/>
      </c>
      <c r="P106" s="2" t="str">
        <f t="shared" ca="1" si="7"/>
        <v/>
      </c>
      <c r="Q106" s="2"/>
    </row>
    <row r="107" spans="1:17">
      <c r="A107" s="2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4"/>
      <c r="O107" s="25" t="str">
        <f t="shared" ca="1" si="6"/>
        <v/>
      </c>
      <c r="P107" s="2" t="str">
        <f t="shared" ca="1" si="7"/>
        <v/>
      </c>
      <c r="Q107" s="2"/>
    </row>
    <row r="108" spans="1:17">
      <c r="A108" s="2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4"/>
      <c r="O108" s="25" t="str">
        <f t="shared" ca="1" si="6"/>
        <v/>
      </c>
      <c r="P108" s="2" t="str">
        <f t="shared" ca="1" si="7"/>
        <v/>
      </c>
      <c r="Q108" s="2"/>
    </row>
    <row r="109" spans="1:17">
      <c r="A109" s="2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4"/>
      <c r="O109" s="25" t="str">
        <f t="shared" ca="1" si="6"/>
        <v/>
      </c>
      <c r="P109" s="2" t="str">
        <f t="shared" ca="1" si="7"/>
        <v/>
      </c>
      <c r="Q109" s="2"/>
    </row>
    <row r="110" spans="1:17">
      <c r="A110" s="2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4"/>
      <c r="O110" s="25" t="str">
        <f t="shared" ca="1" si="6"/>
        <v/>
      </c>
      <c r="P110" s="2" t="str">
        <f t="shared" ca="1" si="7"/>
        <v/>
      </c>
      <c r="Q110" s="2"/>
    </row>
    <row r="111" spans="1:17">
      <c r="A111" s="2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4"/>
      <c r="O111" s="25" t="str">
        <f t="shared" ca="1" si="6"/>
        <v/>
      </c>
      <c r="P111" s="2" t="str">
        <f t="shared" ca="1" si="7"/>
        <v/>
      </c>
      <c r="Q111" s="2"/>
    </row>
    <row r="112" spans="1:17">
      <c r="A112" s="2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4"/>
      <c r="O112" s="25" t="str">
        <f t="shared" ca="1" si="6"/>
        <v/>
      </c>
      <c r="P112" s="2" t="str">
        <f t="shared" ca="1" si="7"/>
        <v/>
      </c>
      <c r="Q112" s="2"/>
    </row>
    <row r="113" spans="1:17">
      <c r="A113" s="2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4"/>
      <c r="O113" s="25" t="str">
        <f t="shared" ca="1" si="6"/>
        <v/>
      </c>
      <c r="P113" s="2" t="str">
        <f t="shared" ca="1" si="7"/>
        <v/>
      </c>
      <c r="Q113" s="2"/>
    </row>
    <row r="114" spans="1:17">
      <c r="A114" s="2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4"/>
      <c r="O114" s="25" t="str">
        <f t="shared" ca="1" si="6"/>
        <v/>
      </c>
      <c r="P114" s="2" t="str">
        <f t="shared" ca="1" si="7"/>
        <v/>
      </c>
      <c r="Q114" s="2"/>
    </row>
    <row r="115" spans="1:17">
      <c r="A115" s="2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4"/>
      <c r="O115" s="25" t="str">
        <f t="shared" ca="1" si="6"/>
        <v/>
      </c>
      <c r="P115" s="2" t="str">
        <f t="shared" ca="1" si="7"/>
        <v/>
      </c>
      <c r="Q115" s="2"/>
    </row>
    <row r="116" spans="1:17">
      <c r="A116" s="2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4"/>
      <c r="O116" s="25" t="str">
        <f t="shared" ca="1" si="6"/>
        <v/>
      </c>
      <c r="P116" s="2" t="str">
        <f t="shared" ca="1" si="7"/>
        <v/>
      </c>
      <c r="Q116" s="2"/>
    </row>
    <row r="117" spans="1:17">
      <c r="A117" s="2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4"/>
      <c r="O117" s="25" t="str">
        <f t="shared" ca="1" si="6"/>
        <v/>
      </c>
      <c r="P117" s="2" t="str">
        <f t="shared" ca="1" si="7"/>
        <v/>
      </c>
      <c r="Q117" s="2"/>
    </row>
    <row r="118" spans="1:17">
      <c r="A118" s="2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4"/>
      <c r="O118" s="25" t="str">
        <f t="shared" ca="1" si="6"/>
        <v/>
      </c>
      <c r="P118" s="2" t="str">
        <f t="shared" ca="1" si="7"/>
        <v/>
      </c>
      <c r="Q118" s="2"/>
    </row>
    <row r="119" spans="1:17">
      <c r="A119" s="2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4"/>
      <c r="O119" s="25" t="str">
        <f t="shared" ca="1" si="6"/>
        <v/>
      </c>
      <c r="P119" s="2" t="str">
        <f t="shared" ca="1" si="7"/>
        <v/>
      </c>
      <c r="Q119" s="2"/>
    </row>
    <row r="120" spans="1:17">
      <c r="A120" s="2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4"/>
      <c r="O120" s="25" t="str">
        <f t="shared" ca="1" si="6"/>
        <v/>
      </c>
      <c r="P120" s="2" t="str">
        <f t="shared" ca="1" si="7"/>
        <v/>
      </c>
      <c r="Q120" s="2"/>
    </row>
    <row r="121" spans="1:17">
      <c r="A121" s="2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4"/>
      <c r="O121" s="25" t="str">
        <f t="shared" ca="1" si="6"/>
        <v/>
      </c>
      <c r="P121" s="2" t="str">
        <f t="shared" ca="1" si="7"/>
        <v/>
      </c>
      <c r="Q121" s="2"/>
    </row>
    <row r="122" spans="1:17">
      <c r="A122" s="2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4"/>
      <c r="O122" s="25" t="str">
        <f t="shared" ca="1" si="6"/>
        <v/>
      </c>
      <c r="P122" s="2" t="str">
        <f t="shared" ca="1" si="7"/>
        <v/>
      </c>
      <c r="Q122" s="2"/>
    </row>
    <row r="123" spans="1:17">
      <c r="A123" s="2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4"/>
      <c r="O123" s="25" t="str">
        <f t="shared" ca="1" si="6"/>
        <v/>
      </c>
      <c r="P123" s="2" t="str">
        <f t="shared" ca="1" si="7"/>
        <v/>
      </c>
      <c r="Q123" s="2"/>
    </row>
    <row r="124" spans="1:17">
      <c r="A124" s="2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4"/>
      <c r="O124" s="25" t="str">
        <f t="shared" ca="1" si="6"/>
        <v/>
      </c>
      <c r="P124" s="2" t="str">
        <f t="shared" ca="1" si="7"/>
        <v/>
      </c>
      <c r="Q124" s="2"/>
    </row>
    <row r="125" spans="1:17">
      <c r="A125" s="2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4"/>
      <c r="O125" s="25" t="str">
        <f t="shared" ca="1" si="6"/>
        <v/>
      </c>
      <c r="P125" s="2" t="str">
        <f t="shared" ca="1" si="7"/>
        <v/>
      </c>
      <c r="Q125" s="2"/>
    </row>
    <row r="126" spans="1:17">
      <c r="A126" s="2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4"/>
      <c r="O126" s="25" t="str">
        <f t="shared" ca="1" si="6"/>
        <v/>
      </c>
      <c r="P126" s="2" t="str">
        <f t="shared" ca="1" si="7"/>
        <v/>
      </c>
      <c r="Q126" s="2"/>
    </row>
    <row r="127" spans="1:17">
      <c r="A127" s="2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4"/>
      <c r="O127" s="25" t="str">
        <f t="shared" ca="1" si="6"/>
        <v/>
      </c>
      <c r="P127" s="2" t="str">
        <f t="shared" ca="1" si="7"/>
        <v/>
      </c>
      <c r="Q127" s="2"/>
    </row>
    <row r="128" spans="1:17">
      <c r="A128" s="2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4"/>
      <c r="O128" s="25" t="str">
        <f t="shared" ca="1" si="6"/>
        <v/>
      </c>
      <c r="P128" s="2" t="str">
        <f t="shared" ca="1" si="7"/>
        <v/>
      </c>
      <c r="Q128" s="2"/>
    </row>
    <row r="129" spans="1:17">
      <c r="A129" s="2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4"/>
      <c r="O129" s="25" t="str">
        <f t="shared" ca="1" si="6"/>
        <v/>
      </c>
      <c r="P129" s="2" t="str">
        <f t="shared" ca="1" si="7"/>
        <v/>
      </c>
      <c r="Q129" s="2"/>
    </row>
    <row r="130" spans="1:17">
      <c r="A130" s="2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4"/>
      <c r="O130" s="25" t="str">
        <f t="shared" ca="1" si="6"/>
        <v/>
      </c>
      <c r="P130" s="2" t="str">
        <f t="shared" ca="1" si="7"/>
        <v/>
      </c>
      <c r="Q130" s="2"/>
    </row>
    <row r="131" spans="1:17">
      <c r="A131" s="2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4"/>
      <c r="O131" s="25" t="str">
        <f t="shared" ca="1" si="6"/>
        <v/>
      </c>
      <c r="P131" s="2" t="str">
        <f t="shared" ca="1" si="7"/>
        <v/>
      </c>
      <c r="Q131" s="2"/>
    </row>
    <row r="132" spans="1:17">
      <c r="A132" s="2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4"/>
      <c r="O132" s="25" t="str">
        <f t="shared" ca="1" si="6"/>
        <v/>
      </c>
      <c r="P132" s="2" t="str">
        <f t="shared" ca="1" si="7"/>
        <v/>
      </c>
      <c r="Q132" s="2"/>
    </row>
    <row r="133" spans="1:17">
      <c r="A133" s="2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4"/>
      <c r="O133" s="25" t="str">
        <f t="shared" ca="1" si="6"/>
        <v/>
      </c>
      <c r="P133" s="2" t="str">
        <f t="shared" ca="1" si="7"/>
        <v/>
      </c>
      <c r="Q133" s="2"/>
    </row>
    <row r="134" spans="1:17">
      <c r="A134" s="2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4"/>
      <c r="O134" s="25" t="str">
        <f t="shared" ca="1" si="6"/>
        <v/>
      </c>
      <c r="P134" s="2" t="str">
        <f t="shared" ca="1" si="7"/>
        <v/>
      </c>
      <c r="Q134" s="2"/>
    </row>
    <row r="135" spans="1:17">
      <c r="A135" s="2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4"/>
      <c r="O135" s="25" t="str">
        <f t="shared" ca="1" si="6"/>
        <v/>
      </c>
      <c r="P135" s="2" t="str">
        <f t="shared" ca="1" si="7"/>
        <v/>
      </c>
      <c r="Q135" s="2"/>
    </row>
    <row r="136" spans="1:17">
      <c r="A136" s="2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4"/>
      <c r="O136" s="25" t="str">
        <f t="shared" ca="1" si="6"/>
        <v/>
      </c>
      <c r="P136" s="2" t="str">
        <f t="shared" ca="1" si="7"/>
        <v/>
      </c>
      <c r="Q136" s="2"/>
    </row>
    <row r="137" spans="1:17">
      <c r="A137" s="2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4"/>
      <c r="O137" s="25" t="str">
        <f t="shared" ref="O137:O168" ca="1" si="8">IF(A137="","",A137-TODAY())</f>
        <v/>
      </c>
      <c r="P137" s="2" t="str">
        <f t="shared" ref="P137:P168" ca="1" si="9">IF(A137="","",IF(OR(L137="Carregado",L137="Cancelado"),"OK",IF(A137&lt;TODAY(),"ATRASADO / PENDENTE",IF(A137=TODAY(),"HOJE",IF(A137=TODAY()+1,"AMANHÃ",IF(A137&lt;=TODAY()+3,"PRÓXIMO",""))))))</f>
        <v/>
      </c>
      <c r="Q137" s="2"/>
    </row>
    <row r="138" spans="1:17">
      <c r="A138" s="2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4"/>
      <c r="O138" s="25" t="str">
        <f t="shared" ca="1" si="8"/>
        <v/>
      </c>
      <c r="P138" s="2" t="str">
        <f t="shared" ca="1" si="9"/>
        <v/>
      </c>
      <c r="Q138" s="2"/>
    </row>
    <row r="139" spans="1:17">
      <c r="A139" s="2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4"/>
      <c r="O139" s="25" t="str">
        <f t="shared" ca="1" si="8"/>
        <v/>
      </c>
      <c r="P139" s="2" t="str">
        <f t="shared" ca="1" si="9"/>
        <v/>
      </c>
      <c r="Q139" s="2"/>
    </row>
    <row r="140" spans="1:17">
      <c r="A140" s="2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4"/>
      <c r="O140" s="25" t="str">
        <f t="shared" ca="1" si="8"/>
        <v/>
      </c>
      <c r="P140" s="2" t="str">
        <f t="shared" ca="1" si="9"/>
        <v/>
      </c>
      <c r="Q140" s="2"/>
    </row>
    <row r="141" spans="1:17">
      <c r="A141" s="2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4"/>
      <c r="O141" s="25" t="str">
        <f t="shared" ca="1" si="8"/>
        <v/>
      </c>
      <c r="P141" s="2" t="str">
        <f t="shared" ca="1" si="9"/>
        <v/>
      </c>
      <c r="Q141" s="2"/>
    </row>
    <row r="142" spans="1:17">
      <c r="A142" s="2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4"/>
      <c r="O142" s="25" t="str">
        <f t="shared" ca="1" si="8"/>
        <v/>
      </c>
      <c r="P142" s="2" t="str">
        <f t="shared" ca="1" si="9"/>
        <v/>
      </c>
      <c r="Q142" s="2"/>
    </row>
    <row r="143" spans="1:17">
      <c r="A143" s="2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4"/>
      <c r="O143" s="25" t="str">
        <f t="shared" ca="1" si="8"/>
        <v/>
      </c>
      <c r="P143" s="2" t="str">
        <f t="shared" ca="1" si="9"/>
        <v/>
      </c>
      <c r="Q143" s="2"/>
    </row>
    <row r="144" spans="1:17">
      <c r="A144" s="2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4"/>
      <c r="O144" s="25" t="str">
        <f t="shared" ca="1" si="8"/>
        <v/>
      </c>
      <c r="P144" s="2" t="str">
        <f t="shared" ca="1" si="9"/>
        <v/>
      </c>
      <c r="Q144" s="2"/>
    </row>
    <row r="145" spans="1:17">
      <c r="A145" s="2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4"/>
      <c r="O145" s="25" t="str">
        <f t="shared" ca="1" si="8"/>
        <v/>
      </c>
      <c r="P145" s="2" t="str">
        <f t="shared" ca="1" si="9"/>
        <v/>
      </c>
      <c r="Q145" s="2"/>
    </row>
    <row r="146" spans="1:17">
      <c r="A146" s="2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4"/>
      <c r="O146" s="25" t="str">
        <f t="shared" ca="1" si="8"/>
        <v/>
      </c>
      <c r="P146" s="2" t="str">
        <f t="shared" ca="1" si="9"/>
        <v/>
      </c>
      <c r="Q146" s="2"/>
    </row>
    <row r="147" spans="1:17">
      <c r="A147" s="2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4"/>
      <c r="O147" s="25" t="str">
        <f t="shared" ca="1" si="8"/>
        <v/>
      </c>
      <c r="P147" s="2" t="str">
        <f t="shared" ca="1" si="9"/>
        <v/>
      </c>
      <c r="Q147" s="2"/>
    </row>
    <row r="148" spans="1:17">
      <c r="A148" s="2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4"/>
      <c r="O148" s="25" t="str">
        <f t="shared" ca="1" si="8"/>
        <v/>
      </c>
      <c r="P148" s="2" t="str">
        <f t="shared" ca="1" si="9"/>
        <v/>
      </c>
      <c r="Q148" s="2"/>
    </row>
    <row r="149" spans="1:17">
      <c r="A149" s="2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4"/>
      <c r="O149" s="25" t="str">
        <f t="shared" ca="1" si="8"/>
        <v/>
      </c>
      <c r="P149" s="2" t="str">
        <f t="shared" ca="1" si="9"/>
        <v/>
      </c>
      <c r="Q149" s="2"/>
    </row>
    <row r="150" spans="1:17">
      <c r="A150" s="2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4"/>
      <c r="O150" s="25" t="str">
        <f t="shared" ca="1" si="8"/>
        <v/>
      </c>
      <c r="P150" s="2" t="str">
        <f t="shared" ca="1" si="9"/>
        <v/>
      </c>
      <c r="Q150" s="2"/>
    </row>
    <row r="151" spans="1:17">
      <c r="A151" s="2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4"/>
      <c r="O151" s="25" t="str">
        <f t="shared" ca="1" si="8"/>
        <v/>
      </c>
      <c r="P151" s="2" t="str">
        <f t="shared" ca="1" si="9"/>
        <v/>
      </c>
      <c r="Q151" s="2"/>
    </row>
    <row r="152" spans="1:17">
      <c r="A152" s="2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4"/>
      <c r="O152" s="25" t="str">
        <f t="shared" ca="1" si="8"/>
        <v/>
      </c>
      <c r="P152" s="2" t="str">
        <f t="shared" ca="1" si="9"/>
        <v/>
      </c>
      <c r="Q152" s="2"/>
    </row>
    <row r="153" spans="1:17">
      <c r="A153" s="2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4"/>
      <c r="O153" s="25" t="str">
        <f t="shared" ca="1" si="8"/>
        <v/>
      </c>
      <c r="P153" s="2" t="str">
        <f t="shared" ca="1" si="9"/>
        <v/>
      </c>
      <c r="Q153" s="2"/>
    </row>
    <row r="154" spans="1:17">
      <c r="A154" s="2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4"/>
      <c r="O154" s="25" t="str">
        <f t="shared" ca="1" si="8"/>
        <v/>
      </c>
      <c r="P154" s="2" t="str">
        <f t="shared" ca="1" si="9"/>
        <v/>
      </c>
      <c r="Q154" s="2"/>
    </row>
    <row r="155" spans="1:17">
      <c r="A155" s="2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4"/>
      <c r="O155" s="25" t="str">
        <f t="shared" ca="1" si="8"/>
        <v/>
      </c>
      <c r="P155" s="2" t="str">
        <f t="shared" ca="1" si="9"/>
        <v/>
      </c>
      <c r="Q155" s="2"/>
    </row>
    <row r="156" spans="1:17">
      <c r="A156" s="2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4"/>
      <c r="O156" s="25" t="str">
        <f t="shared" ca="1" si="8"/>
        <v/>
      </c>
      <c r="P156" s="2" t="str">
        <f t="shared" ca="1" si="9"/>
        <v/>
      </c>
      <c r="Q156" s="2"/>
    </row>
    <row r="157" spans="1:17">
      <c r="A157" s="2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4"/>
      <c r="O157" s="25" t="str">
        <f t="shared" ca="1" si="8"/>
        <v/>
      </c>
      <c r="P157" s="2" t="str">
        <f t="shared" ca="1" si="9"/>
        <v/>
      </c>
      <c r="Q157" s="2"/>
    </row>
    <row r="158" spans="1:17">
      <c r="A158" s="2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4"/>
      <c r="O158" s="25" t="str">
        <f t="shared" ca="1" si="8"/>
        <v/>
      </c>
      <c r="P158" s="2" t="str">
        <f t="shared" ca="1" si="9"/>
        <v/>
      </c>
      <c r="Q158" s="2"/>
    </row>
    <row r="159" spans="1:17">
      <c r="A159" s="2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4"/>
      <c r="O159" s="25" t="str">
        <f t="shared" ca="1" si="8"/>
        <v/>
      </c>
      <c r="P159" s="2" t="str">
        <f t="shared" ca="1" si="9"/>
        <v/>
      </c>
      <c r="Q159" s="2"/>
    </row>
    <row r="160" spans="1:17">
      <c r="A160" s="2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4"/>
      <c r="O160" s="25" t="str">
        <f t="shared" ca="1" si="8"/>
        <v/>
      </c>
      <c r="P160" s="2" t="str">
        <f t="shared" ca="1" si="9"/>
        <v/>
      </c>
      <c r="Q160" s="2"/>
    </row>
    <row r="161" spans="1:17">
      <c r="A161" s="2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4"/>
      <c r="O161" s="25" t="str">
        <f t="shared" ca="1" si="8"/>
        <v/>
      </c>
      <c r="P161" s="2" t="str">
        <f t="shared" ca="1" si="9"/>
        <v/>
      </c>
      <c r="Q161" s="2"/>
    </row>
    <row r="162" spans="1:17">
      <c r="A162" s="2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4"/>
      <c r="O162" s="25" t="str">
        <f t="shared" ca="1" si="8"/>
        <v/>
      </c>
      <c r="P162" s="2" t="str">
        <f t="shared" ca="1" si="9"/>
        <v/>
      </c>
      <c r="Q162" s="2"/>
    </row>
    <row r="163" spans="1:17">
      <c r="A163" s="2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4"/>
      <c r="O163" s="25" t="str">
        <f t="shared" ca="1" si="8"/>
        <v/>
      </c>
      <c r="P163" s="2" t="str">
        <f t="shared" ca="1" si="9"/>
        <v/>
      </c>
      <c r="Q163" s="2"/>
    </row>
    <row r="164" spans="1:17">
      <c r="A164" s="2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4"/>
      <c r="O164" s="25" t="str">
        <f t="shared" ca="1" si="8"/>
        <v/>
      </c>
      <c r="P164" s="2" t="str">
        <f t="shared" ca="1" si="9"/>
        <v/>
      </c>
      <c r="Q164" s="2"/>
    </row>
    <row r="165" spans="1:17">
      <c r="A165" s="2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4"/>
      <c r="O165" s="25" t="str">
        <f t="shared" ca="1" si="8"/>
        <v/>
      </c>
      <c r="P165" s="2" t="str">
        <f t="shared" ca="1" si="9"/>
        <v/>
      </c>
      <c r="Q165" s="2"/>
    </row>
    <row r="166" spans="1:17">
      <c r="A166" s="2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4"/>
      <c r="O166" s="25" t="str">
        <f t="shared" ca="1" si="8"/>
        <v/>
      </c>
      <c r="P166" s="2" t="str">
        <f t="shared" ca="1" si="9"/>
        <v/>
      </c>
      <c r="Q166" s="2"/>
    </row>
    <row r="167" spans="1:17">
      <c r="A167" s="2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4"/>
      <c r="O167" s="25" t="str">
        <f t="shared" ca="1" si="8"/>
        <v/>
      </c>
      <c r="P167" s="2" t="str">
        <f t="shared" ca="1" si="9"/>
        <v/>
      </c>
      <c r="Q167" s="2"/>
    </row>
    <row r="168" spans="1:17">
      <c r="A168" s="2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4"/>
      <c r="O168" s="25" t="str">
        <f t="shared" ca="1" si="8"/>
        <v/>
      </c>
      <c r="P168" s="2" t="str">
        <f t="shared" ca="1" si="9"/>
        <v/>
      </c>
      <c r="Q168" s="2"/>
    </row>
    <row r="169" spans="1:17">
      <c r="A169" s="2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4"/>
      <c r="O169" s="25" t="str">
        <f t="shared" ref="O169:O200" ca="1" si="10">IF(A169="","",A169-TODAY())</f>
        <v/>
      </c>
      <c r="P169" s="2" t="str">
        <f t="shared" ref="P169:P200" ca="1" si="11">IF(A169="","",IF(OR(L169="Carregado",L169="Cancelado"),"OK",IF(A169&lt;TODAY(),"ATRASADO / PENDENTE",IF(A169=TODAY(),"HOJE",IF(A169=TODAY()+1,"AMANHÃ",IF(A169&lt;=TODAY()+3,"PRÓXIMO",""))))))</f>
        <v/>
      </c>
      <c r="Q169" s="2"/>
    </row>
    <row r="170" spans="1:17">
      <c r="A170" s="2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4"/>
      <c r="O170" s="25" t="str">
        <f t="shared" ca="1" si="10"/>
        <v/>
      </c>
      <c r="P170" s="2" t="str">
        <f t="shared" ca="1" si="11"/>
        <v/>
      </c>
      <c r="Q170" s="2"/>
    </row>
    <row r="171" spans="1:17">
      <c r="A171" s="2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4"/>
      <c r="O171" s="25" t="str">
        <f t="shared" ca="1" si="10"/>
        <v/>
      </c>
      <c r="P171" s="2" t="str">
        <f t="shared" ca="1" si="11"/>
        <v/>
      </c>
      <c r="Q171" s="2"/>
    </row>
    <row r="172" spans="1:17">
      <c r="A172" s="2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4"/>
      <c r="O172" s="25" t="str">
        <f t="shared" ca="1" si="10"/>
        <v/>
      </c>
      <c r="P172" s="2" t="str">
        <f t="shared" ca="1" si="11"/>
        <v/>
      </c>
      <c r="Q172" s="2"/>
    </row>
    <row r="173" spans="1:17">
      <c r="A173" s="2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4"/>
      <c r="O173" s="25" t="str">
        <f t="shared" ca="1" si="10"/>
        <v/>
      </c>
      <c r="P173" s="2" t="str">
        <f t="shared" ca="1" si="11"/>
        <v/>
      </c>
      <c r="Q173" s="2"/>
    </row>
    <row r="174" spans="1:17">
      <c r="A174" s="2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4"/>
      <c r="O174" s="25" t="str">
        <f t="shared" ca="1" si="10"/>
        <v/>
      </c>
      <c r="P174" s="2" t="str">
        <f t="shared" ca="1" si="11"/>
        <v/>
      </c>
      <c r="Q174" s="2"/>
    </row>
    <row r="175" spans="1:17">
      <c r="A175" s="2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4"/>
      <c r="O175" s="25" t="str">
        <f t="shared" ca="1" si="10"/>
        <v/>
      </c>
      <c r="P175" s="2" t="str">
        <f t="shared" ca="1" si="11"/>
        <v/>
      </c>
      <c r="Q175" s="2"/>
    </row>
    <row r="176" spans="1:17">
      <c r="A176" s="2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4"/>
      <c r="O176" s="25" t="str">
        <f t="shared" ca="1" si="10"/>
        <v/>
      </c>
      <c r="P176" s="2" t="str">
        <f t="shared" ca="1" si="11"/>
        <v/>
      </c>
      <c r="Q176" s="2"/>
    </row>
    <row r="177" spans="1:17">
      <c r="A177" s="2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4"/>
      <c r="O177" s="25" t="str">
        <f t="shared" ca="1" si="10"/>
        <v/>
      </c>
      <c r="P177" s="2" t="str">
        <f t="shared" ca="1" si="11"/>
        <v/>
      </c>
      <c r="Q177" s="2"/>
    </row>
    <row r="178" spans="1:17">
      <c r="A178" s="2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4"/>
      <c r="O178" s="25" t="str">
        <f t="shared" ca="1" si="10"/>
        <v/>
      </c>
      <c r="P178" s="2" t="str">
        <f t="shared" ca="1" si="11"/>
        <v/>
      </c>
      <c r="Q178" s="2"/>
    </row>
    <row r="179" spans="1:17">
      <c r="A179" s="2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4"/>
      <c r="O179" s="25" t="str">
        <f t="shared" ca="1" si="10"/>
        <v/>
      </c>
      <c r="P179" s="2" t="str">
        <f t="shared" ca="1" si="11"/>
        <v/>
      </c>
      <c r="Q179" s="2"/>
    </row>
    <row r="180" spans="1:17">
      <c r="A180" s="2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4"/>
      <c r="O180" s="25" t="str">
        <f t="shared" ca="1" si="10"/>
        <v/>
      </c>
      <c r="P180" s="2" t="str">
        <f t="shared" ca="1" si="11"/>
        <v/>
      </c>
      <c r="Q180" s="2"/>
    </row>
    <row r="181" spans="1:17">
      <c r="A181" s="2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4"/>
      <c r="O181" s="25" t="str">
        <f t="shared" ca="1" si="10"/>
        <v/>
      </c>
      <c r="P181" s="2" t="str">
        <f t="shared" ca="1" si="11"/>
        <v/>
      </c>
      <c r="Q181" s="2"/>
    </row>
    <row r="182" spans="1:17">
      <c r="A182" s="2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4"/>
      <c r="O182" s="25" t="str">
        <f t="shared" ca="1" si="10"/>
        <v/>
      </c>
      <c r="P182" s="2" t="str">
        <f t="shared" ca="1" si="11"/>
        <v/>
      </c>
      <c r="Q182" s="2"/>
    </row>
    <row r="183" spans="1:17">
      <c r="A183" s="2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4"/>
      <c r="O183" s="25" t="str">
        <f t="shared" ca="1" si="10"/>
        <v/>
      </c>
      <c r="P183" s="2" t="str">
        <f t="shared" ca="1" si="11"/>
        <v/>
      </c>
      <c r="Q183" s="2"/>
    </row>
    <row r="184" spans="1:17">
      <c r="A184" s="2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4"/>
      <c r="O184" s="25" t="str">
        <f t="shared" ca="1" si="10"/>
        <v/>
      </c>
      <c r="P184" s="2" t="str">
        <f t="shared" ca="1" si="11"/>
        <v/>
      </c>
      <c r="Q184" s="2"/>
    </row>
    <row r="185" spans="1:17">
      <c r="A185" s="2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4"/>
      <c r="O185" s="25" t="str">
        <f t="shared" ca="1" si="10"/>
        <v/>
      </c>
      <c r="P185" s="2" t="str">
        <f t="shared" ca="1" si="11"/>
        <v/>
      </c>
      <c r="Q185" s="2"/>
    </row>
    <row r="186" spans="1:17">
      <c r="A186" s="2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4"/>
      <c r="O186" s="25" t="str">
        <f t="shared" ca="1" si="10"/>
        <v/>
      </c>
      <c r="P186" s="2" t="str">
        <f t="shared" ca="1" si="11"/>
        <v/>
      </c>
      <c r="Q186" s="2"/>
    </row>
    <row r="187" spans="1:17">
      <c r="A187" s="2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4"/>
      <c r="O187" s="25" t="str">
        <f t="shared" ca="1" si="10"/>
        <v/>
      </c>
      <c r="P187" s="2" t="str">
        <f t="shared" ca="1" si="11"/>
        <v/>
      </c>
      <c r="Q187" s="2"/>
    </row>
    <row r="188" spans="1:17">
      <c r="A188" s="2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4"/>
      <c r="O188" s="25" t="str">
        <f t="shared" ca="1" si="10"/>
        <v/>
      </c>
      <c r="P188" s="2" t="str">
        <f t="shared" ca="1" si="11"/>
        <v/>
      </c>
      <c r="Q188" s="2"/>
    </row>
    <row r="189" spans="1:17">
      <c r="A189" s="2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4"/>
      <c r="O189" s="25" t="str">
        <f t="shared" ca="1" si="10"/>
        <v/>
      </c>
      <c r="P189" s="2" t="str">
        <f t="shared" ca="1" si="11"/>
        <v/>
      </c>
      <c r="Q189" s="2"/>
    </row>
    <row r="190" spans="1:17">
      <c r="A190" s="2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4"/>
      <c r="O190" s="25" t="str">
        <f t="shared" ca="1" si="10"/>
        <v/>
      </c>
      <c r="P190" s="2" t="str">
        <f t="shared" ca="1" si="11"/>
        <v/>
      </c>
      <c r="Q190" s="2"/>
    </row>
    <row r="191" spans="1:17">
      <c r="A191" s="2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4"/>
      <c r="O191" s="25" t="str">
        <f t="shared" ca="1" si="10"/>
        <v/>
      </c>
      <c r="P191" s="2" t="str">
        <f t="shared" ca="1" si="11"/>
        <v/>
      </c>
      <c r="Q191" s="2"/>
    </row>
    <row r="192" spans="1:17">
      <c r="A192" s="2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4"/>
      <c r="O192" s="25" t="str">
        <f t="shared" ca="1" si="10"/>
        <v/>
      </c>
      <c r="P192" s="2" t="str">
        <f t="shared" ca="1" si="11"/>
        <v/>
      </c>
      <c r="Q192" s="2"/>
    </row>
    <row r="193" spans="1:17">
      <c r="A193" s="2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4"/>
      <c r="O193" s="25" t="str">
        <f t="shared" ca="1" si="10"/>
        <v/>
      </c>
      <c r="P193" s="2" t="str">
        <f t="shared" ca="1" si="11"/>
        <v/>
      </c>
      <c r="Q193" s="2"/>
    </row>
    <row r="194" spans="1:17">
      <c r="A194" s="2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4"/>
      <c r="O194" s="25" t="str">
        <f t="shared" ca="1" si="10"/>
        <v/>
      </c>
      <c r="P194" s="2" t="str">
        <f t="shared" ca="1" si="11"/>
        <v/>
      </c>
      <c r="Q194" s="2"/>
    </row>
    <row r="195" spans="1:17">
      <c r="A195" s="2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4"/>
      <c r="O195" s="25" t="str">
        <f t="shared" ca="1" si="10"/>
        <v/>
      </c>
      <c r="P195" s="2" t="str">
        <f t="shared" ca="1" si="11"/>
        <v/>
      </c>
      <c r="Q195" s="2"/>
    </row>
    <row r="196" spans="1:17">
      <c r="A196" s="2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4"/>
      <c r="O196" s="25" t="str">
        <f t="shared" ca="1" si="10"/>
        <v/>
      </c>
      <c r="P196" s="2" t="str">
        <f t="shared" ca="1" si="11"/>
        <v/>
      </c>
      <c r="Q196" s="2"/>
    </row>
    <row r="197" spans="1:17">
      <c r="A197" s="2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4"/>
      <c r="O197" s="25" t="str">
        <f t="shared" ca="1" si="10"/>
        <v/>
      </c>
      <c r="P197" s="2" t="str">
        <f t="shared" ca="1" si="11"/>
        <v/>
      </c>
      <c r="Q197" s="2"/>
    </row>
    <row r="198" spans="1:17">
      <c r="A198" s="2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4"/>
      <c r="O198" s="25" t="str">
        <f t="shared" ca="1" si="10"/>
        <v/>
      </c>
      <c r="P198" s="2" t="str">
        <f t="shared" ca="1" si="11"/>
        <v/>
      </c>
      <c r="Q198" s="2"/>
    </row>
    <row r="199" spans="1:17">
      <c r="A199" s="2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4"/>
      <c r="O199" s="25" t="str">
        <f t="shared" ca="1" si="10"/>
        <v/>
      </c>
      <c r="P199" s="2" t="str">
        <f t="shared" ca="1" si="11"/>
        <v/>
      </c>
      <c r="Q199" s="2"/>
    </row>
    <row r="200" spans="1:17">
      <c r="A200" s="2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4"/>
      <c r="O200" s="25" t="str">
        <f t="shared" ca="1" si="10"/>
        <v/>
      </c>
      <c r="P200" s="2" t="str">
        <f t="shared" ca="1" si="11"/>
        <v/>
      </c>
      <c r="Q200" s="2"/>
    </row>
  </sheetData>
  <mergeCells count="10">
    <mergeCell ref="A5:B5"/>
    <mergeCell ref="D5:E5"/>
    <mergeCell ref="G5:H5"/>
    <mergeCell ref="J5:K5"/>
    <mergeCell ref="A1:Q1"/>
    <mergeCell ref="A2:Q2"/>
    <mergeCell ref="A4:B4"/>
    <mergeCell ref="D4:E4"/>
    <mergeCell ref="G4:H4"/>
    <mergeCell ref="J4:K4"/>
  </mergeCells>
  <conditionalFormatting sqref="L9:L200">
    <cfRule type="expression" dxfId="7" priority="7">
      <formula>L9="Reagendado"</formula>
    </cfRule>
    <cfRule type="expression" dxfId="6" priority="8">
      <formula>L9="Carregado"</formula>
    </cfRule>
  </conditionalFormatting>
  <conditionalFormatting sqref="M9:M200">
    <cfRule type="expression" dxfId="5" priority="6">
      <formula>M9="Não"</formula>
    </cfRule>
  </conditionalFormatting>
  <conditionalFormatting sqref="P9:P200">
    <cfRule type="expression" dxfId="4" priority="1">
      <formula>P9="HOJE"</formula>
    </cfRule>
    <cfRule type="expression" dxfId="3" priority="2">
      <formula>P9="AMANHÃ"</formula>
    </cfRule>
    <cfRule type="expression" dxfId="2" priority="3">
      <formula>P9="PRÓXIMO"</formula>
    </cfRule>
    <cfRule type="expression" dxfId="1" priority="4">
      <formula>P9="ATRASADO / PENDENTE"</formula>
    </cfRule>
    <cfRule type="expression" dxfId="0" priority="5">
      <formula>P9="OK"</formula>
    </cfRule>
  </conditionalFormatting>
  <dataValidations count="2">
    <dataValidation type="list" sqref="L9:L200" xr:uid="{00000000-0002-0000-0600-000000000000}">
      <formula1>"Aguardando confirmação,Programado,Confirmado,Reagendado,Carregado,Cancelado"</formula1>
    </dataValidation>
    <dataValidation type="list" sqref="M9:M200" xr:uid="{00000000-0002-0000-0600-000001000000}">
      <formula1>"Sim,Não"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01_Logica_Final</vt:lpstr>
      <vt:lpstr>02_Campos_do_App</vt:lpstr>
      <vt:lpstr>03_Formacao_de_Preco</vt:lpstr>
      <vt:lpstr>04_Painel_e_Status</vt:lpstr>
      <vt:lpstr>05_Backlog_Mateus</vt:lpstr>
      <vt:lpstr>06_Resumo_Executivo</vt:lpstr>
      <vt:lpstr>07_Agenda_Carregamentos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Josemar</dc:creator>
  <cp:lastModifiedBy>jtc3ct@outlook.com</cp:lastModifiedBy>
  <dcterms:created xsi:type="dcterms:W3CDTF">2026-09-13T15:57:59Z</dcterms:created>
  <dcterms:modified xsi:type="dcterms:W3CDTF">2026-09-13T15:58:00Z</dcterms:modified>
</cp:coreProperties>
</file>